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Dashboard" sheetId="2" state="visible" r:id="rId4"/>
    <sheet name="Self-Assessment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<sst xmlns="http://schemas.openxmlformats.org/spreadsheetml/2006/main" count="208" uniqueCount="92">
  <si>
    <t xml:space="preserve">Phase</t>
  </si>
  <si>
    <t xml:space="preserve">#</t>
  </si>
  <si>
    <t xml:space="preserve">Concept</t>
  </si>
  <si>
    <t xml:space="preserve">Status</t>
  </si>
  <si>
    <t xml:space="preserve">Practice Exercise Done</t>
  </si>
  <si>
    <t xml:space="preserve">Self-Check Passed</t>
  </si>
  <si>
    <t xml:space="preserve">Date Started</t>
  </si>
  <si>
    <t xml:space="preserve">Date Completed</t>
  </si>
  <si>
    <t xml:space="preserve">Notes</t>
  </si>
  <si>
    <t xml:space="preserve">Phase 1: Python Core Foundations</t>
  </si>
  <si>
    <t xml:space="preserve">1.1</t>
  </si>
  <si>
    <t xml:space="preserve">Abstract Base Classes &amp; Inheritance</t>
  </si>
  <si>
    <t xml:space="preserve">Not Started</t>
  </si>
  <si>
    <t xml:space="preserve">No</t>
  </si>
  <si>
    <t xml:space="preserve">1.2</t>
  </si>
  <si>
    <t xml:space="preserve">async/await and asyncio</t>
  </si>
  <si>
    <t xml:space="preserve">1.3</t>
  </si>
  <si>
    <t xml:space="preserve">Type hints &amp; typing</t>
  </si>
  <si>
    <t xml:space="preserve">1.4</t>
  </si>
  <si>
    <t xml:space="preserve">@dataclass</t>
  </si>
  <si>
    <t xml:space="preserve">1.5</t>
  </si>
  <si>
    <t xml:space="preserve">Dictionaries, lists &amp; JSON</t>
  </si>
  <si>
    <t xml:space="preserve">Phase 2: Frameworks &amp; Libraries</t>
  </si>
  <si>
    <t xml:space="preserve">2.1</t>
  </si>
  <si>
    <t xml:space="preserve">FastAPI</t>
  </si>
  <si>
    <t xml:space="preserve">2.2</t>
  </si>
  <si>
    <t xml:space="preserve">Pydantic (v2)</t>
  </si>
  <si>
    <t xml:space="preserve">2.3</t>
  </si>
  <si>
    <t xml:space="preserve">LLM SDKs &amp; tool-calling protocol</t>
  </si>
  <si>
    <t xml:space="preserve">2.4</t>
  </si>
  <si>
    <t xml:space="preserve">pandas</t>
  </si>
  <si>
    <t xml:space="preserve">2.5</t>
  </si>
  <si>
    <t xml:space="preserve">httpx (async HTTP client)</t>
  </si>
  <si>
    <t xml:space="preserve">2.6</t>
  </si>
  <si>
    <t xml:space="preserve">Environment config (python-dotenv + os.getenv)</t>
  </si>
  <si>
    <t xml:space="preserve">Phase 3: Design Patterns</t>
  </si>
  <si>
    <t xml:space="preserve">3.1</t>
  </si>
  <si>
    <t xml:space="preserve">Factory Pattern</t>
  </si>
  <si>
    <t xml:space="preserve">3.2</t>
  </si>
  <si>
    <t xml:space="preserve">Strategy / Provider abstraction</t>
  </si>
  <si>
    <t xml:space="preserve">3.3</t>
  </si>
  <si>
    <t xml:space="preserve">Orchestrator / Router pattern</t>
  </si>
  <si>
    <t xml:space="preserve">3.4</t>
  </si>
  <si>
    <t xml:space="preserve">The Agentic Loop</t>
  </si>
  <si>
    <t xml:space="preserve">3.5</t>
  </si>
  <si>
    <t xml:space="preserve">Dependency Injection</t>
  </si>
  <si>
    <t xml:space="preserve">3.6</t>
  </si>
  <si>
    <t xml:space="preserve">Adapter / Normalizer</t>
  </si>
  <si>
    <t xml:space="preserve">Phase 4: Cross-Cutting Concerns</t>
  </si>
  <si>
    <t xml:space="preserve">4.1</t>
  </si>
  <si>
    <t xml:space="preserve">Caching (TTL) + Null Object pattern</t>
  </si>
  <si>
    <t xml:space="preserve">4.2</t>
  </si>
  <si>
    <t xml:space="preserve">Authentication: JWT + OAuth 2.0</t>
  </si>
  <si>
    <t xml:space="preserve">4.3</t>
  </si>
  <si>
    <t xml:space="preserve">Logging &amp; tracing</t>
  </si>
  <si>
    <t xml:space="preserve">4.4</t>
  </si>
  <si>
    <t xml:space="preserve">Error handling &amp; resilience</t>
  </si>
  <si>
    <t xml:space="preserve">Phase 5: Domain &amp; Project-Specific</t>
  </si>
  <si>
    <t xml:space="preserve">5.1</t>
  </si>
  <si>
    <t xml:space="preserve">Layered architecture (mental model)</t>
  </si>
  <si>
    <t xml:space="preserve">5.2</t>
  </si>
  <si>
    <t xml:space="preserve">Construction/BIM domain vocabulary</t>
  </si>
  <si>
    <t xml:space="preserve">5.3</t>
  </si>
  <si>
    <t xml:space="preserve">Chart/response contract</t>
  </si>
  <si>
    <t xml:space="preserve">5.4</t>
  </si>
  <si>
    <t xml:space="preserve">Project layout &amp; packaging</t>
  </si>
  <si>
    <t xml:space="preserve">Capstone</t>
  </si>
  <si>
    <t xml:space="preserve">C</t>
  </si>
  <si>
    <t xml:space="preserve">Trace one request end-to-end (debugger walkthrough)</t>
  </si>
  <si>
    <t xml:space="preserve">Codebase Learning — Progress Dashboard</t>
  </si>
  <si>
    <t xml:space="preserve">Live counts pull from the Tracker sheet — update statuses there.</t>
  </si>
  <si>
    <t xml:space="preserve">Overall Completion</t>
  </si>
  <si>
    <t xml:space="preserve">Total Concepts</t>
  </si>
  <si>
    <t xml:space="preserve">Done</t>
  </si>
  <si>
    <t xml:space="preserve">% Complete</t>
  </si>
  <si>
    <t xml:space="preserve">Total</t>
  </si>
  <si>
    <t xml:space="preserve">In Progress</t>
  </si>
  <si>
    <t xml:space="preserve">Practiced</t>
  </si>
  <si>
    <t xml:space="preserve">TOTAL</t>
  </si>
  <si>
    <t xml:space="preserve">Self-Assessment Checklist</t>
  </si>
  <si>
    <t xml:space="preserve">From the learning plan — mark each once you can answer it unaided.</t>
  </si>
  <si>
    <t xml:space="preserve">Checklist Item</t>
  </si>
  <si>
    <t xml:space="preserve">Completed</t>
  </si>
  <si>
    <t xml:space="preserve">Date</t>
  </si>
  <si>
    <t xml:space="preserve">I can explain why BaseAgent is an ABC and what subclassing actually buys the project.</t>
  </si>
  <si>
    <t xml:space="preserve">I can explain, without notes, what happens if you call an async function without await.</t>
  </si>
  <si>
    <t xml:space="preserve">I can explain why dataclasses and Pydantic models both exist in this codebase.</t>
  </si>
  <si>
    <t xml:space="preserve">I can describe the agentic loop's stopping condition from memory.</t>
  </si>
  <si>
    <t xml:space="preserve">I can explain the three-tier fallback shape (primary → fallback → default) and name two places it appears.</t>
  </si>
  <si>
    <t xml:space="preserve">I can explain why live data sources skip the cache.</t>
  </si>
  <si>
    <t xml:space="preserve">I can describe the full request path from frontend to data layer and back, without looking it up.</t>
  </si>
  <si>
    <t xml:space="preserve">I've completed the end-to-end debugger trace at least once.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</si>
</sst>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Complete by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Dashboard!$A$11:$A$16</c:f>
              <c:strCache>
                <c:ptCount val="6"/>
                <c:pt idx="0">
                  <c:v>Phase 1: Python Core Foundations</c:v>
                </c:pt>
                <c:pt idx="1">
                  <c:v>Phase 2: Frameworks &amp; Libraries</c:v>
                </c:pt>
                <c:pt idx="2">
                  <c:v>Phase 3: Design Patterns</c:v>
                </c:pt>
                <c:pt idx="3">
                  <c:v>Phase 4: Cross-Cutting Concerns</c:v>
                </c:pt>
                <c:pt idx="4">
                  <c:v>Phase 5: Domain &amp; Project-Specific</c:v>
                </c:pt>
                <c:pt idx="5">
                  <c:v>Capstone</c:v>
                </c:pt>
              </c:strCache>
            </c:strRef>
          </c:cat>
          <c:val>
            <c:numRef>
              <c:f>Dashboard!$G$11:$G$16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9677270"/>
        <c:axId val="82133500"/>
      </c:barChart>
      <c:catAx>
        <c:axId val="96772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33500"/>
        <c:crosses val="autoZero"/>
        <c:auto val="1"/>
        <c:lblAlgn val="ctr"/>
        <c:lblOffset val="100"/>
        <c:noMultiLvlLbl val="0"/>
      </c:catAx>
      <c:valAx>
        <c:axId val="82133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72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171000</xdr:rowOff>
    </xdr:from>
    <xdr:to>
      <xdr:col>6</xdr:col>
      <xdr:colOff>488520</xdr:colOff>
      <xdr:row>31</xdr:row>
      <xdr:rowOff>2520</xdr:rowOff>
    </xdr:to>
    <xdr:graphicFrame>
      <xdr:nvGraphicFramePr>
        <xdr:cNvPr id="0" name="Chart 1"/>
        <xdr:cNvGraphicFramePr/>
      </xdr:nvGraphicFramePr>
      <xdr:xfrm>
        <a:off x="0" y="3238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2" t="s">
        <v>11</v>
      </c>
      <c r="D2" s="4" t="s">
        <v>12</v>
      </c>
      <c r="E2" s="3" t="s">
        <v>13</v>
      </c>
      <c r="F2" s="3" t="s">
        <v>13</v>
      </c>
      <c r="G2" s="3"/>
      <c r="H2" s="3"/>
      <c r="I2" s="2"/>
    </row>
    <row r="3" customFormat="false" ht="15" hidden="false" customHeight="false" outlineLevel="0" collapsed="false">
      <c r="A3" s="5" t="s">
        <v>9</v>
      </c>
      <c r="B3" s="6" t="s">
        <v>14</v>
      </c>
      <c r="C3" s="5" t="s">
        <v>15</v>
      </c>
      <c r="D3" s="4" t="s">
        <v>12</v>
      </c>
      <c r="E3" s="6" t="s">
        <v>13</v>
      </c>
      <c r="F3" s="6" t="s">
        <v>13</v>
      </c>
      <c r="G3" s="6"/>
      <c r="H3" s="6"/>
      <c r="I3" s="5"/>
    </row>
    <row r="4" customFormat="false" ht="15" hidden="false" customHeight="false" outlineLevel="0" collapsed="false">
      <c r="A4" s="2" t="s">
        <v>9</v>
      </c>
      <c r="B4" s="3" t="s">
        <v>16</v>
      </c>
      <c r="C4" s="2" t="s">
        <v>17</v>
      </c>
      <c r="D4" s="4" t="s">
        <v>12</v>
      </c>
      <c r="E4" s="3" t="s">
        <v>13</v>
      </c>
      <c r="F4" s="3" t="s">
        <v>13</v>
      </c>
      <c r="G4" s="3"/>
      <c r="H4" s="3"/>
      <c r="I4" s="2"/>
    </row>
    <row r="5" customFormat="false" ht="15" hidden="false" customHeight="false" outlineLevel="0" collapsed="false">
      <c r="A5" s="5" t="s">
        <v>9</v>
      </c>
      <c r="B5" s="6" t="s">
        <v>18</v>
      </c>
      <c r="C5" s="5" t="s">
        <v>19</v>
      </c>
      <c r="D5" s="4" t="s">
        <v>12</v>
      </c>
      <c r="E5" s="6" t="s">
        <v>13</v>
      </c>
      <c r="F5" s="6" t="s">
        <v>13</v>
      </c>
      <c r="G5" s="6"/>
      <c r="H5" s="6"/>
      <c r="I5" s="5"/>
    </row>
    <row r="6" customFormat="false" ht="15" hidden="false" customHeight="false" outlineLevel="0" collapsed="false">
      <c r="A6" s="2" t="s">
        <v>9</v>
      </c>
      <c r="B6" s="3" t="s">
        <v>20</v>
      </c>
      <c r="C6" s="2" t="s">
        <v>21</v>
      </c>
      <c r="D6" s="4" t="s">
        <v>12</v>
      </c>
      <c r="E6" s="3" t="s">
        <v>13</v>
      </c>
      <c r="F6" s="3" t="s">
        <v>13</v>
      </c>
      <c r="G6" s="3"/>
      <c r="H6" s="3"/>
      <c r="I6" s="2"/>
    </row>
    <row r="7" customFormat="false" ht="15" hidden="false" customHeight="false" outlineLevel="0" collapsed="false">
      <c r="A7" s="5" t="s">
        <v>22</v>
      </c>
      <c r="B7" s="6" t="s">
        <v>23</v>
      </c>
      <c r="C7" s="5" t="s">
        <v>24</v>
      </c>
      <c r="D7" s="4" t="s">
        <v>12</v>
      </c>
      <c r="E7" s="6" t="s">
        <v>13</v>
      </c>
      <c r="F7" s="6" t="s">
        <v>13</v>
      </c>
      <c r="G7" s="6"/>
      <c r="H7" s="6"/>
      <c r="I7" s="5"/>
    </row>
    <row r="8" customFormat="false" ht="15" hidden="false" customHeight="false" outlineLevel="0" collapsed="false">
      <c r="A8" s="2" t="s">
        <v>22</v>
      </c>
      <c r="B8" s="3" t="s">
        <v>25</v>
      </c>
      <c r="C8" s="2" t="s">
        <v>26</v>
      </c>
      <c r="D8" s="4" t="s">
        <v>12</v>
      </c>
      <c r="E8" s="3" t="s">
        <v>13</v>
      </c>
      <c r="F8" s="3" t="s">
        <v>13</v>
      </c>
      <c r="G8" s="3"/>
      <c r="H8" s="3"/>
      <c r="I8" s="2"/>
    </row>
    <row r="9" customFormat="false" ht="15" hidden="false" customHeight="false" outlineLevel="0" collapsed="false">
      <c r="A9" s="5" t="s">
        <v>22</v>
      </c>
      <c r="B9" s="6" t="s">
        <v>27</v>
      </c>
      <c r="C9" s="5" t="s">
        <v>28</v>
      </c>
      <c r="D9" s="4" t="s">
        <v>12</v>
      </c>
      <c r="E9" s="6" t="s">
        <v>13</v>
      </c>
      <c r="F9" s="6" t="s">
        <v>13</v>
      </c>
      <c r="G9" s="6"/>
      <c r="H9" s="6"/>
      <c r="I9" s="5"/>
    </row>
    <row r="10" customFormat="false" ht="15" hidden="false" customHeight="false" outlineLevel="0" collapsed="false">
      <c r="A10" s="2" t="s">
        <v>22</v>
      </c>
      <c r="B10" s="3" t="s">
        <v>29</v>
      </c>
      <c r="C10" s="2" t="s">
        <v>30</v>
      </c>
      <c r="D10" s="4" t="s">
        <v>12</v>
      </c>
      <c r="E10" s="3" t="s">
        <v>13</v>
      </c>
      <c r="F10" s="3" t="s">
        <v>13</v>
      </c>
      <c r="G10" s="3"/>
      <c r="H10" s="3"/>
      <c r="I10" s="2"/>
    </row>
    <row r="11" customFormat="false" ht="15" hidden="false" customHeight="false" outlineLevel="0" collapsed="false">
      <c r="A11" s="5" t="s">
        <v>22</v>
      </c>
      <c r="B11" s="6" t="s">
        <v>31</v>
      </c>
      <c r="C11" s="5" t="s">
        <v>32</v>
      </c>
      <c r="D11" s="4" t="s">
        <v>12</v>
      </c>
      <c r="E11" s="6" t="s">
        <v>13</v>
      </c>
      <c r="F11" s="6" t="s">
        <v>13</v>
      </c>
      <c r="G11" s="6"/>
      <c r="H11" s="6"/>
      <c r="I11" s="5"/>
    </row>
    <row r="12" customFormat="false" ht="15" hidden="false" customHeight="false" outlineLevel="0" collapsed="false">
      <c r="A12" s="2" t="s">
        <v>22</v>
      </c>
      <c r="B12" s="3" t="s">
        <v>33</v>
      </c>
      <c r="C12" s="2" t="s">
        <v>34</v>
      </c>
      <c r="D12" s="4" t="s">
        <v>12</v>
      </c>
      <c r="E12" s="3" t="s">
        <v>13</v>
      </c>
      <c r="F12" s="3" t="s">
        <v>13</v>
      </c>
      <c r="G12" s="3"/>
      <c r="H12" s="3"/>
      <c r="I12" s="2"/>
    </row>
    <row r="13" customFormat="false" ht="15" hidden="false" customHeight="false" outlineLevel="0" collapsed="false">
      <c r="A13" s="5" t="s">
        <v>35</v>
      </c>
      <c r="B13" s="6" t="s">
        <v>36</v>
      </c>
      <c r="C13" s="5" t="s">
        <v>37</v>
      </c>
      <c r="D13" s="4" t="s">
        <v>12</v>
      </c>
      <c r="E13" s="6" t="s">
        <v>13</v>
      </c>
      <c r="F13" s="6" t="s">
        <v>13</v>
      </c>
      <c r="G13" s="6"/>
      <c r="H13" s="6"/>
      <c r="I13" s="5"/>
    </row>
    <row r="14" customFormat="false" ht="15" hidden="false" customHeight="false" outlineLevel="0" collapsed="false">
      <c r="A14" s="2" t="s">
        <v>35</v>
      </c>
      <c r="B14" s="3" t="s">
        <v>38</v>
      </c>
      <c r="C14" s="2" t="s">
        <v>39</v>
      </c>
      <c r="D14" s="4" t="s">
        <v>12</v>
      </c>
      <c r="E14" s="3" t="s">
        <v>13</v>
      </c>
      <c r="F14" s="3" t="s">
        <v>13</v>
      </c>
      <c r="G14" s="3"/>
      <c r="H14" s="3"/>
      <c r="I14" s="2"/>
    </row>
    <row r="15" customFormat="false" ht="15" hidden="false" customHeight="false" outlineLevel="0" collapsed="false">
      <c r="A15" s="5" t="s">
        <v>35</v>
      </c>
      <c r="B15" s="6" t="s">
        <v>40</v>
      </c>
      <c r="C15" s="5" t="s">
        <v>41</v>
      </c>
      <c r="D15" s="4" t="s">
        <v>12</v>
      </c>
      <c r="E15" s="6" t="s">
        <v>13</v>
      </c>
      <c r="F15" s="6" t="s">
        <v>13</v>
      </c>
      <c r="G15" s="6"/>
      <c r="H15" s="6"/>
      <c r="I15" s="5"/>
    </row>
    <row r="16" customFormat="false" ht="15" hidden="false" customHeight="false" outlineLevel="0" collapsed="false">
      <c r="A16" s="2" t="s">
        <v>35</v>
      </c>
      <c r="B16" s="3" t="s">
        <v>42</v>
      </c>
      <c r="C16" s="2" t="s">
        <v>43</v>
      </c>
      <c r="D16" s="4" t="s">
        <v>12</v>
      </c>
      <c r="E16" s="3" t="s">
        <v>13</v>
      </c>
      <c r="F16" s="3" t="s">
        <v>13</v>
      </c>
      <c r="G16" s="3"/>
      <c r="H16" s="3"/>
      <c r="I16" s="2"/>
    </row>
    <row r="17" customFormat="false" ht="15" hidden="false" customHeight="false" outlineLevel="0" collapsed="false">
      <c r="A17" s="5" t="s">
        <v>35</v>
      </c>
      <c r="B17" s="6" t="s">
        <v>44</v>
      </c>
      <c r="C17" s="5" t="s">
        <v>45</v>
      </c>
      <c r="D17" s="4" t="s">
        <v>12</v>
      </c>
      <c r="E17" s="6" t="s">
        <v>13</v>
      </c>
      <c r="F17" s="6" t="s">
        <v>13</v>
      </c>
      <c r="G17" s="6"/>
      <c r="H17" s="6"/>
      <c r="I17" s="5"/>
    </row>
    <row r="18" customFormat="false" ht="15" hidden="false" customHeight="false" outlineLevel="0" collapsed="false">
      <c r="A18" s="2" t="s">
        <v>35</v>
      </c>
      <c r="B18" s="3" t="s">
        <v>46</v>
      </c>
      <c r="C18" s="2" t="s">
        <v>47</v>
      </c>
      <c r="D18" s="4" t="s">
        <v>12</v>
      </c>
      <c r="E18" s="3" t="s">
        <v>13</v>
      </c>
      <c r="F18" s="3" t="s">
        <v>13</v>
      </c>
      <c r="G18" s="3"/>
      <c r="H18" s="3"/>
      <c r="I18" s="2"/>
    </row>
    <row r="19" customFormat="false" ht="15" hidden="false" customHeight="false" outlineLevel="0" collapsed="false">
      <c r="A19" s="5" t="s">
        <v>48</v>
      </c>
      <c r="B19" s="6" t="s">
        <v>49</v>
      </c>
      <c r="C19" s="5" t="s">
        <v>50</v>
      </c>
      <c r="D19" s="4" t="s">
        <v>12</v>
      </c>
      <c r="E19" s="6" t="s">
        <v>13</v>
      </c>
      <c r="F19" s="6" t="s">
        <v>13</v>
      </c>
      <c r="G19" s="6"/>
      <c r="H19" s="6"/>
      <c r="I19" s="5"/>
    </row>
    <row r="20" customFormat="false" ht="15" hidden="false" customHeight="false" outlineLevel="0" collapsed="false">
      <c r="A20" s="2" t="s">
        <v>48</v>
      </c>
      <c r="B20" s="3" t="s">
        <v>51</v>
      </c>
      <c r="C20" s="2" t="s">
        <v>52</v>
      </c>
      <c r="D20" s="4" t="s">
        <v>12</v>
      </c>
      <c r="E20" s="3" t="s">
        <v>13</v>
      </c>
      <c r="F20" s="3" t="s">
        <v>13</v>
      </c>
      <c r="G20" s="3"/>
      <c r="H20" s="3"/>
      <c r="I20" s="2"/>
    </row>
    <row r="21" customFormat="false" ht="15" hidden="false" customHeight="false" outlineLevel="0" collapsed="false">
      <c r="A21" s="5" t="s">
        <v>48</v>
      </c>
      <c r="B21" s="6" t="s">
        <v>53</v>
      </c>
      <c r="C21" s="5" t="s">
        <v>54</v>
      </c>
      <c r="D21" s="4" t="s">
        <v>12</v>
      </c>
      <c r="E21" s="6" t="s">
        <v>13</v>
      </c>
      <c r="F21" s="6" t="s">
        <v>13</v>
      </c>
      <c r="G21" s="6"/>
      <c r="H21" s="6"/>
      <c r="I21" s="5"/>
    </row>
    <row r="22" customFormat="false" ht="15" hidden="false" customHeight="false" outlineLevel="0" collapsed="false">
      <c r="A22" s="2" t="s">
        <v>48</v>
      </c>
      <c r="B22" s="3" t="s">
        <v>55</v>
      </c>
      <c r="C22" s="2" t="s">
        <v>56</v>
      </c>
      <c r="D22" s="4" t="s">
        <v>12</v>
      </c>
      <c r="E22" s="3" t="s">
        <v>13</v>
      </c>
      <c r="F22" s="3" t="s">
        <v>13</v>
      </c>
      <c r="G22" s="3"/>
      <c r="H22" s="3"/>
      <c r="I22" s="2"/>
    </row>
    <row r="23" customFormat="false" ht="15" hidden="false" customHeight="false" outlineLevel="0" collapsed="false">
      <c r="A23" s="5" t="s">
        <v>57</v>
      </c>
      <c r="B23" s="6" t="s">
        <v>58</v>
      </c>
      <c r="C23" s="5" t="s">
        <v>59</v>
      </c>
      <c r="D23" s="4" t="s">
        <v>12</v>
      </c>
      <c r="E23" s="6" t="s">
        <v>13</v>
      </c>
      <c r="F23" s="6" t="s">
        <v>13</v>
      </c>
      <c r="G23" s="6"/>
      <c r="H23" s="6"/>
      <c r="I23" s="5"/>
    </row>
    <row r="24" customFormat="false" ht="15" hidden="false" customHeight="false" outlineLevel="0" collapsed="false">
      <c r="A24" s="2" t="s">
        <v>57</v>
      </c>
      <c r="B24" s="3" t="s">
        <v>60</v>
      </c>
      <c r="C24" s="2" t="s">
        <v>61</v>
      </c>
      <c r="D24" s="4" t="s">
        <v>12</v>
      </c>
      <c r="E24" s="3" t="s">
        <v>13</v>
      </c>
      <c r="F24" s="3" t="s">
        <v>13</v>
      </c>
      <c r="G24" s="3"/>
      <c r="H24" s="3"/>
      <c r="I24" s="2"/>
    </row>
    <row r="25" customFormat="false" ht="15" hidden="false" customHeight="false" outlineLevel="0" collapsed="false">
      <c r="A25" s="5" t="s">
        <v>57</v>
      </c>
      <c r="B25" s="6" t="s">
        <v>62</v>
      </c>
      <c r="C25" s="5" t="s">
        <v>63</v>
      </c>
      <c r="D25" s="4" t="s">
        <v>12</v>
      </c>
      <c r="E25" s="6" t="s">
        <v>13</v>
      </c>
      <c r="F25" s="6" t="s">
        <v>13</v>
      </c>
      <c r="G25" s="6"/>
      <c r="H25" s="6"/>
      <c r="I25" s="5"/>
    </row>
    <row r="26" customFormat="false" ht="15" hidden="false" customHeight="false" outlineLevel="0" collapsed="false">
      <c r="A26" s="2" t="s">
        <v>57</v>
      </c>
      <c r="B26" s="3" t="s">
        <v>64</v>
      </c>
      <c r="C26" s="2" t="s">
        <v>65</v>
      </c>
      <c r="D26" s="4" t="s">
        <v>12</v>
      </c>
      <c r="E26" s="3" t="s">
        <v>13</v>
      </c>
      <c r="F26" s="3" t="s">
        <v>13</v>
      </c>
      <c r="G26" s="3"/>
      <c r="H26" s="3"/>
      <c r="I26" s="2"/>
    </row>
    <row r="27" customFormat="false" ht="23.85" hidden="false" customHeight="false" outlineLevel="0" collapsed="false">
      <c r="A27" s="5" t="s">
        <v>66</v>
      </c>
      <c r="B27" s="6" t="s">
        <v>67</v>
      </c>
      <c r="C27" s="5" t="s">
        <v>68</v>
      </c>
      <c r="D27" s="4" t="s">
        <v>12</v>
      </c>
      <c r="E27" s="6" t="s">
        <v>13</v>
      </c>
      <c r="F27" s="6" t="s">
        <v>13</v>
      </c>
      <c r="G27" s="6"/>
      <c r="H27" s="6"/>
      <c r="I27" s="5"/>
    </row>
  </sheetData>
  <conditionalFormatting sqref="D2:D27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"Practiced"</formula>
    </cfRule>
    <cfRule type="cellIs" priority="5" operator="equal" aboveAverage="0" equalAverage="0" bottom="0" percent="0" rank="0" text="" dxfId="3">
      <formula>"Not Started"</formula>
    </cfRule>
  </conditionalFormatting>
  <dataValidations count="2">
    <dataValidation allowBlank="false" error="Choose a value from the list" errorStyle="stop" errorTitle="Invalid entry" operator="between" showDropDown="false" showErrorMessage="false" showInputMessage="false" sqref="D2:D27" type="list">
      <formula1>"Not Started,In Progress,Practiced,Done"</formula1>
      <formula2>0</formula2>
    </dataValidation>
    <dataValidation allowBlank="false" errorStyle="stop" operator="between" showDropDown="false" showErrorMessage="false" showInputMessage="false" sqref="E2:F2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</cols>
  <sheetData>
    <row r="1" customFormat="false" ht="19.7" hidden="false" customHeight="false" outlineLevel="0" collapsed="false">
      <c r="A1" s="7" t="s">
        <v>69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70</v>
      </c>
      <c r="B2" s="8"/>
      <c r="C2" s="8"/>
      <c r="D2" s="8"/>
      <c r="E2" s="8"/>
      <c r="F2" s="8"/>
      <c r="G2" s="8"/>
    </row>
    <row r="4" customFormat="false" ht="15" hidden="false" customHeight="false" outlineLevel="0" collapsed="false">
      <c r="A4" s="9" t="s">
        <v>71</v>
      </c>
      <c r="B4" s="9"/>
      <c r="C4" s="9"/>
    </row>
    <row r="5" customFormat="false" ht="15" hidden="false" customHeight="false" outlineLevel="0" collapsed="false">
      <c r="A5" s="10" t="s">
        <v>72</v>
      </c>
      <c r="B5" s="11" t="n">
        <f aca="false">COUNTA(Tracker!C2:C27)</f>
        <v>26</v>
      </c>
    </row>
    <row r="6" customFormat="false" ht="15" hidden="false" customHeight="false" outlineLevel="0" collapsed="false">
      <c r="A6" s="10" t="s">
        <v>73</v>
      </c>
      <c r="B6" s="11" t="n">
        <f aca="false">COUNTIF(Tracker!D2:D27,"Done")</f>
        <v>0</v>
      </c>
    </row>
    <row r="7" customFormat="false" ht="15" hidden="false" customHeight="false" outlineLevel="0" collapsed="false">
      <c r="A7" s="10" t="s">
        <v>74</v>
      </c>
      <c r="B7" s="12" t="n">
        <f aca="false">B6/B5</f>
        <v>0</v>
      </c>
    </row>
    <row r="10" customFormat="false" ht="26.85" hidden="false" customHeight="false" outlineLevel="0" collapsed="false">
      <c r="A10" s="1" t="s">
        <v>0</v>
      </c>
      <c r="B10" s="1" t="s">
        <v>75</v>
      </c>
      <c r="C10" s="1" t="s">
        <v>12</v>
      </c>
      <c r="D10" s="1" t="s">
        <v>76</v>
      </c>
      <c r="E10" s="1" t="s">
        <v>77</v>
      </c>
      <c r="F10" s="1" t="s">
        <v>73</v>
      </c>
      <c r="G10" s="1" t="s">
        <v>74</v>
      </c>
    </row>
    <row r="11" customFormat="false" ht="15" hidden="false" customHeight="false" outlineLevel="0" collapsed="false">
      <c r="A11" s="2" t="s">
        <v>9</v>
      </c>
      <c r="B11" s="3" t="n">
        <f aca="false">COUNTIF(Tracker!A2:A27,A11)</f>
        <v>5</v>
      </c>
      <c r="C11" s="3" t="n">
        <f aca="false">COUNTIFS(Tracker!A2:A27,A11,Tracker!D2:D27,"Not Started")</f>
        <v>5</v>
      </c>
      <c r="D11" s="3" t="n">
        <f aca="false">COUNTIFS(Tracker!A2:A27,A11,Tracker!D2:D27,"In Progress")</f>
        <v>0</v>
      </c>
      <c r="E11" s="3" t="n">
        <f aca="false">COUNTIFS(Tracker!A2:A27,A11,Tracker!D2:D27,"Practiced")</f>
        <v>0</v>
      </c>
      <c r="F11" s="3" t="n">
        <f aca="false">COUNTIFS(Tracker!A2:A27,A11,Tracker!D2:D27,"Done")</f>
        <v>0</v>
      </c>
      <c r="G11" s="13" t="n">
        <f aca="false">F11/B11</f>
        <v>0</v>
      </c>
    </row>
    <row r="12" customFormat="false" ht="15" hidden="false" customHeight="false" outlineLevel="0" collapsed="false">
      <c r="A12" s="5" t="s">
        <v>22</v>
      </c>
      <c r="B12" s="6" t="n">
        <f aca="false">COUNTIF(Tracker!A2:A27,A12)</f>
        <v>6</v>
      </c>
      <c r="C12" s="6" t="n">
        <f aca="false">COUNTIFS(Tracker!A2:A27,A12,Tracker!D2:D27,"Not Started")</f>
        <v>6</v>
      </c>
      <c r="D12" s="6" t="n">
        <f aca="false">COUNTIFS(Tracker!A2:A27,A12,Tracker!D2:D27,"In Progress")</f>
        <v>0</v>
      </c>
      <c r="E12" s="6" t="n">
        <f aca="false">COUNTIFS(Tracker!A2:A27,A12,Tracker!D2:D27,"Practiced")</f>
        <v>0</v>
      </c>
      <c r="F12" s="6" t="n">
        <f aca="false">COUNTIFS(Tracker!A2:A27,A12,Tracker!D2:D27,"Done")</f>
        <v>0</v>
      </c>
      <c r="G12" s="14" t="n">
        <f aca="false">F12/B12</f>
        <v>0</v>
      </c>
    </row>
    <row r="13" customFormat="false" ht="15" hidden="false" customHeight="false" outlineLevel="0" collapsed="false">
      <c r="A13" s="2" t="s">
        <v>35</v>
      </c>
      <c r="B13" s="3" t="n">
        <f aca="false">COUNTIF(Tracker!A2:A27,A13)</f>
        <v>6</v>
      </c>
      <c r="C13" s="3" t="n">
        <f aca="false">COUNTIFS(Tracker!A2:A27,A13,Tracker!D2:D27,"Not Started")</f>
        <v>6</v>
      </c>
      <c r="D13" s="3" t="n">
        <f aca="false">COUNTIFS(Tracker!A2:A27,A13,Tracker!D2:D27,"In Progress")</f>
        <v>0</v>
      </c>
      <c r="E13" s="3" t="n">
        <f aca="false">COUNTIFS(Tracker!A2:A27,A13,Tracker!D2:D27,"Practiced")</f>
        <v>0</v>
      </c>
      <c r="F13" s="3" t="n">
        <f aca="false">COUNTIFS(Tracker!A2:A27,A13,Tracker!D2:D27,"Done")</f>
        <v>0</v>
      </c>
      <c r="G13" s="13" t="n">
        <f aca="false">F13/B13</f>
        <v>0</v>
      </c>
    </row>
    <row r="14" customFormat="false" ht="15" hidden="false" customHeight="false" outlineLevel="0" collapsed="false">
      <c r="A14" s="5" t="s">
        <v>48</v>
      </c>
      <c r="B14" s="6" t="n">
        <f aca="false">COUNTIF(Tracker!A2:A27,A14)</f>
        <v>4</v>
      </c>
      <c r="C14" s="6" t="n">
        <f aca="false">COUNTIFS(Tracker!A2:A27,A14,Tracker!D2:D27,"Not Started")</f>
        <v>4</v>
      </c>
      <c r="D14" s="6" t="n">
        <f aca="false">COUNTIFS(Tracker!A2:A27,A14,Tracker!D2:D27,"In Progress")</f>
        <v>0</v>
      </c>
      <c r="E14" s="6" t="n">
        <f aca="false">COUNTIFS(Tracker!A2:A27,A14,Tracker!D2:D27,"Practiced")</f>
        <v>0</v>
      </c>
      <c r="F14" s="6" t="n">
        <f aca="false">COUNTIFS(Tracker!A2:A27,A14,Tracker!D2:D27,"Done")</f>
        <v>0</v>
      </c>
      <c r="G14" s="14" t="n">
        <f aca="false">F14/B14</f>
        <v>0</v>
      </c>
    </row>
    <row r="15" customFormat="false" ht="15" hidden="false" customHeight="false" outlineLevel="0" collapsed="false">
      <c r="A15" s="2" t="s">
        <v>57</v>
      </c>
      <c r="B15" s="3" t="n">
        <f aca="false">COUNTIF(Tracker!A2:A27,A15)</f>
        <v>4</v>
      </c>
      <c r="C15" s="3" t="n">
        <f aca="false">COUNTIFS(Tracker!A2:A27,A15,Tracker!D2:D27,"Not Started")</f>
        <v>4</v>
      </c>
      <c r="D15" s="3" t="n">
        <f aca="false">COUNTIFS(Tracker!A2:A27,A15,Tracker!D2:D27,"In Progress")</f>
        <v>0</v>
      </c>
      <c r="E15" s="3" t="n">
        <f aca="false">COUNTIFS(Tracker!A2:A27,A15,Tracker!D2:D27,"Practiced")</f>
        <v>0</v>
      </c>
      <c r="F15" s="3" t="n">
        <f aca="false">COUNTIFS(Tracker!A2:A27,A15,Tracker!D2:D27,"Done")</f>
        <v>0</v>
      </c>
      <c r="G15" s="13" t="n">
        <f aca="false">F15/B15</f>
        <v>0</v>
      </c>
    </row>
    <row r="16" customFormat="false" ht="15" hidden="false" customHeight="false" outlineLevel="0" collapsed="false">
      <c r="A16" s="5" t="s">
        <v>66</v>
      </c>
      <c r="B16" s="6" t="n">
        <f aca="false">COUNTIF(Tracker!A2:A27,A16)</f>
        <v>1</v>
      </c>
      <c r="C16" s="6" t="n">
        <f aca="false">COUNTIFS(Tracker!A2:A27,A16,Tracker!D2:D27,"Not Started")</f>
        <v>1</v>
      </c>
      <c r="D16" s="6" t="n">
        <f aca="false">COUNTIFS(Tracker!A2:A27,A16,Tracker!D2:D27,"In Progress")</f>
        <v>0</v>
      </c>
      <c r="E16" s="6" t="n">
        <f aca="false">COUNTIFS(Tracker!A2:A27,A16,Tracker!D2:D27,"Practiced")</f>
        <v>0</v>
      </c>
      <c r="F16" s="6" t="n">
        <f aca="false">COUNTIFS(Tracker!A2:A27,A16,Tracker!D2:D27,"Done")</f>
        <v>0</v>
      </c>
      <c r="G16" s="14" t="n">
        <f aca="false">F16/B16</f>
        <v>0</v>
      </c>
    </row>
    <row r="17" customFormat="false" ht="15" hidden="false" customHeight="false" outlineLevel="0" collapsed="false">
      <c r="A17" s="15" t="s">
        <v>78</v>
      </c>
      <c r="B17" s="16" t="n">
        <f aca="false">SUM(B11:B16)</f>
        <v>26</v>
      </c>
      <c r="C17" s="16" t="n">
        <f aca="false">SUM(C11:C16)</f>
        <v>26</v>
      </c>
      <c r="D17" s="16" t="n">
        <f aca="false">SUM(D11:D16)</f>
        <v>0</v>
      </c>
      <c r="E17" s="16" t="n">
        <f aca="false">SUM(E11:E16)</f>
        <v>0</v>
      </c>
      <c r="F17" s="16" t="n">
        <f aca="false">SUM(F11:F16)</f>
        <v>0</v>
      </c>
      <c r="G17" s="17" t="n">
        <f aca="false">F17/B17</f>
        <v>0</v>
      </c>
    </row>
  </sheetData>
  <mergeCells count="3">
    <mergeCell ref="A1:G1"/>
    <mergeCell ref="A2:G2"/>
    <mergeCell ref="A4:C4"/>
  </mergeCells>
  <conditionalFormatting sqref="B7">
    <cfRule type="cellIs" priority="2" operator="greaterThanOrEqual" aboveAverage="0" equalAverage="0" bottom="0" percent="0" rank="0" text="" dxfId="0">
      <formula>0.99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3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7" t="s">
        <v>79</v>
      </c>
      <c r="B1" s="7"/>
      <c r="C1" s="7"/>
    </row>
    <row r="2" customFormat="false" ht="15" hidden="false" customHeight="false" outlineLevel="0" collapsed="false">
      <c r="A2" s="8" t="s">
        <v>80</v>
      </c>
      <c r="B2" s="8"/>
      <c r="C2" s="8"/>
    </row>
    <row r="4" customFormat="false" ht="15" hidden="false" customHeight="false" outlineLevel="0" collapsed="false">
      <c r="A4" s="1" t="s">
        <v>1</v>
      </c>
      <c r="B4" s="1" t="s">
        <v>81</v>
      </c>
      <c r="C4" s="1" t="s">
        <v>82</v>
      </c>
      <c r="D4" s="1" t="s">
        <v>83</v>
      </c>
    </row>
    <row r="5" customFormat="false" ht="23.85" hidden="false" customHeight="false" outlineLevel="0" collapsed="false">
      <c r="A5" s="3" t="n">
        <v>1</v>
      </c>
      <c r="B5" s="2" t="s">
        <v>84</v>
      </c>
      <c r="C5" s="3" t="s">
        <v>13</v>
      </c>
      <c r="D5" s="3"/>
    </row>
    <row r="6" customFormat="false" ht="15" hidden="false" customHeight="false" outlineLevel="0" collapsed="false">
      <c r="A6" s="6" t="n">
        <v>2</v>
      </c>
      <c r="B6" s="5" t="s">
        <v>85</v>
      </c>
      <c r="C6" s="6" t="s">
        <v>13</v>
      </c>
      <c r="D6" s="6"/>
    </row>
    <row r="7" customFormat="false" ht="15" hidden="false" customHeight="false" outlineLevel="0" collapsed="false">
      <c r="A7" s="3" t="n">
        <v>3</v>
      </c>
      <c r="B7" s="2" t="s">
        <v>86</v>
      </c>
      <c r="C7" s="3" t="s">
        <v>13</v>
      </c>
      <c r="D7" s="3"/>
    </row>
    <row r="8" customFormat="false" ht="15" hidden="false" customHeight="false" outlineLevel="0" collapsed="false">
      <c r="A8" s="6" t="n">
        <v>4</v>
      </c>
      <c r="B8" s="5" t="s">
        <v>87</v>
      </c>
      <c r="C8" s="6" t="s">
        <v>13</v>
      </c>
      <c r="D8" s="6"/>
    </row>
    <row r="9" customFormat="false" ht="23.85" hidden="false" customHeight="false" outlineLevel="0" collapsed="false">
      <c r="A9" s="3" t="n">
        <v>5</v>
      </c>
      <c r="B9" s="2" t="s">
        <v>88</v>
      </c>
      <c r="C9" s="3" t="s">
        <v>13</v>
      </c>
      <c r="D9" s="3"/>
    </row>
    <row r="10" customFormat="false" ht="15" hidden="false" customHeight="false" outlineLevel="0" collapsed="false">
      <c r="A10" s="6" t="n">
        <v>6</v>
      </c>
      <c r="B10" s="5" t="s">
        <v>89</v>
      </c>
      <c r="C10" s="6" t="s">
        <v>13</v>
      </c>
      <c r="D10" s="6"/>
    </row>
    <row r="11" customFormat="false" ht="23.85" hidden="false" customHeight="false" outlineLevel="0" collapsed="false">
      <c r="A11" s="3" t="n">
        <v>7</v>
      </c>
      <c r="B11" s="2" t="s">
        <v>90</v>
      </c>
      <c r="C11" s="3" t="s">
        <v>13</v>
      </c>
      <c r="D11" s="3"/>
    </row>
    <row r="12" customFormat="false" ht="15" hidden="false" customHeight="false" outlineLevel="0" collapsed="false">
      <c r="A12" s="6" t="n">
        <v>8</v>
      </c>
      <c r="B12" s="5" t="s">
        <v>91</v>
      </c>
      <c r="C12" s="6" t="s">
        <v>13</v>
      </c>
      <c r="D12" s="6"/>
    </row>
    <row r="14" customFormat="false" ht="15" hidden="false" customHeight="false" outlineLevel="0" collapsed="false">
      <c r="A14" s="18" t="s">
        <v>82</v>
      </c>
      <c r="B14" s="18" t="str">
        <f aca="false">COUNTIF(C5:C12,"Yes")&amp;" / "&amp;COUNTA(C5:C12)</f>
        <v>0 / 8</v>
      </c>
    </row>
  </sheetData>
  <mergeCells count="2">
    <mergeCell ref="A1:C1"/>
    <mergeCell ref="A2:C2"/>
  </mergeCells>
  <conditionalFormatting sqref="C5:C12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3">
      <formula>"No"</formula>
    </cfRule>
  </conditionalFormatting>
  <dataValidations count="1">
    <dataValidation allowBlank="false" errorStyle="stop" operator="between" showDropDown="false" showErrorMessage="false" showInputMessage="false" sqref="C5:C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2026-06-20T13:55:53Z</dcterms:created>
  <dc:creator>openpyxl</dc:creator>
  <dc:description/>
  <dc:language>en-US</dc:language>
  <cp:lastModifiedBy/>
  <dcterms:modified xsi:type="dcterms:W3CDTF">2026-06-20T13:56:03Z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