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lf-Assessment Checklist" sheetId="3" state="visible" r:id="rId3"/>
    <sheet xmlns:r="http://schemas.openxmlformats.org/officeDocument/2006/relationships" name="Time Lo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b val="1"/>
      <color rgb="FF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9F9F9"/>
      </patternFill>
    </fill>
    <fill>
      <patternFill patternType="solid">
        <fgColor rgb="FFF2F2F2"/>
        <bgColor rgb="FFF9F9F9"/>
      </patternFill>
    </fill>
    <fill>
      <patternFill patternType="solid">
        <fgColor rgb="FF2E5395"/>
        <bgColor rgb="FF1F3864"/>
      </patternFill>
    </fill>
    <fill>
      <patternFill patternType="solid">
        <fgColor rgb="FFD9E2F3"/>
        <bgColor rgb="FFDDEBF7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2" fillId="7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993366"/>
      <rgbColor rgb="FFF9F9F9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% Complete by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Dashboard!$A$11:$A$16</f>
              <strCache>
                <ptCount val="6"/>
                <pt idx="0">
                  <v>Phase 1: Python Core Foundations</v>
                </pt>
                <pt idx="1">
                  <v>Phase 2: Frameworks &amp; Libraries</v>
                </pt>
                <pt idx="2">
                  <v>Phase 3: Design Patterns</v>
                </pt>
                <pt idx="3">
                  <v>Phase 4: Cross-Cutting Concerns</v>
                </pt>
                <pt idx="4">
                  <v>Phase 5: Domain &amp; Project-Specific</v>
                </pt>
                <pt idx="5">
                  <v>Capstone</v>
                </pt>
              </strCache>
            </strRef>
          </cat>
          <val>
            <numRef>
              <f>Dashboard!$G$11:$G$16</f>
              <numCache>
                <formatCode>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150"/>
        <overlap val="0"/>
        <axId val="9677270"/>
        <axId val="82133500"/>
      </barChart>
      <catAx>
        <axId val="96772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2133500"/>
        <crosses val="autoZero"/>
        <auto val="1"/>
        <lblAlgn val="ctr"/>
        <lblOffset val="100"/>
        <noMultiLvlLbl val="0"/>
      </catAx>
      <valAx>
        <axId val="821335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% Complete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67727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15</row>
      <rowOff>171000</rowOff>
    </from>
    <to>
      <col>6</col>
      <colOff>488520</colOff>
      <row>31</row>
      <rowOff>2520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9" min="1" max="1"/>
    <col width="6" customWidth="1" style="19" min="2" max="2"/>
    <col width="42" customWidth="1" style="19" min="3" max="3"/>
    <col width="16" customWidth="1" style="19" min="4" max="4"/>
    <col width="20" customWidth="1" style="19" min="5" max="5"/>
    <col width="16" customWidth="1" style="19" min="6" max="6"/>
    <col width="14" customWidth="1" style="19" min="7" max="7"/>
    <col width="16" customWidth="1" style="19" min="8" max="8"/>
    <col width="36" customWidth="1" style="19" min="9" max="9"/>
  </cols>
  <sheetData>
    <row r="1" ht="27.75" customHeight="1" s="20">
      <c r="A1" s="21" t="inlineStr">
        <is>
          <t>Phase</t>
        </is>
      </c>
      <c r="B1" s="21" t="inlineStr">
        <is>
          <t>#</t>
        </is>
      </c>
      <c r="C1" s="21" t="inlineStr">
        <is>
          <t>Concept</t>
        </is>
      </c>
      <c r="D1" s="21" t="inlineStr">
        <is>
          <t>Status</t>
        </is>
      </c>
      <c r="E1" s="21" t="inlineStr">
        <is>
          <t>Practice Exercise Done</t>
        </is>
      </c>
      <c r="F1" s="21" t="inlineStr">
        <is>
          <t>Self-Check Passed</t>
        </is>
      </c>
      <c r="G1" s="21" t="inlineStr">
        <is>
          <t>Date Started</t>
        </is>
      </c>
      <c r="H1" s="21" t="inlineStr">
        <is>
          <t>Date Completed</t>
        </is>
      </c>
      <c r="I1" s="21" t="inlineStr">
        <is>
          <t>Notes</t>
        </is>
      </c>
    </row>
    <row r="2" ht="15" customHeight="1" s="20">
      <c r="A2" s="22" t="inlineStr">
        <is>
          <t>Phase 1: Python Core Foundations</t>
        </is>
      </c>
      <c r="B2" s="23" t="inlineStr">
        <is>
          <t>1.1</t>
        </is>
      </c>
      <c r="C2" s="22" t="inlineStr">
        <is>
          <t>Abstract Base Classes &amp; Inheritance</t>
        </is>
      </c>
      <c r="D2" s="24" t="inlineStr">
        <is>
          <t>Not Started</t>
        </is>
      </c>
      <c r="E2" s="23" t="inlineStr">
        <is>
          <t>No</t>
        </is>
      </c>
      <c r="F2" s="23" t="inlineStr">
        <is>
          <t>No</t>
        </is>
      </c>
      <c r="G2" s="23" t="n"/>
      <c r="H2" s="23" t="n"/>
      <c r="I2" s="22" t="n"/>
    </row>
    <row r="3" ht="15" customHeight="1" s="20">
      <c r="A3" s="25" t="inlineStr">
        <is>
          <t>Phase 1: Python Core Foundations</t>
        </is>
      </c>
      <c r="B3" s="26" t="inlineStr">
        <is>
          <t>1.2</t>
        </is>
      </c>
      <c r="C3" s="25" t="inlineStr">
        <is>
          <t>async/await and asyncio</t>
        </is>
      </c>
      <c r="D3" s="24" t="inlineStr">
        <is>
          <t>Not Started</t>
        </is>
      </c>
      <c r="E3" s="26" t="inlineStr">
        <is>
          <t>No</t>
        </is>
      </c>
      <c r="F3" s="26" t="inlineStr">
        <is>
          <t>No</t>
        </is>
      </c>
      <c r="G3" s="26" t="n"/>
      <c r="H3" s="26" t="n"/>
      <c r="I3" s="25" t="n"/>
    </row>
    <row r="4" ht="15" customHeight="1" s="20">
      <c r="A4" s="22" t="inlineStr">
        <is>
          <t>Phase 1: Python Core Foundations</t>
        </is>
      </c>
      <c r="B4" s="23" t="inlineStr">
        <is>
          <t>1.3</t>
        </is>
      </c>
      <c r="C4" s="22" t="inlineStr">
        <is>
          <t>Type hints &amp; typing</t>
        </is>
      </c>
      <c r="D4" s="24" t="inlineStr">
        <is>
          <t>Not Started</t>
        </is>
      </c>
      <c r="E4" s="23" t="inlineStr">
        <is>
          <t>No</t>
        </is>
      </c>
      <c r="F4" s="23" t="inlineStr">
        <is>
          <t>No</t>
        </is>
      </c>
      <c r="G4" s="23" t="n"/>
      <c r="H4" s="23" t="n"/>
      <c r="I4" s="22" t="n"/>
    </row>
    <row r="5" ht="15" customHeight="1" s="20">
      <c r="A5" s="25" t="inlineStr">
        <is>
          <t>Phase 1: Python Core Foundations</t>
        </is>
      </c>
      <c r="B5" s="26" t="inlineStr">
        <is>
          <t>1.4</t>
        </is>
      </c>
      <c r="C5" s="25" t="inlineStr">
        <is>
          <t>@dataclass</t>
        </is>
      </c>
      <c r="D5" s="24" t="inlineStr">
        <is>
          <t>Not Started</t>
        </is>
      </c>
      <c r="E5" s="26" t="inlineStr">
        <is>
          <t>No</t>
        </is>
      </c>
      <c r="F5" s="26" t="inlineStr">
        <is>
          <t>No</t>
        </is>
      </c>
      <c r="G5" s="26" t="n"/>
      <c r="H5" s="26" t="n"/>
      <c r="I5" s="25" t="n"/>
    </row>
    <row r="6" ht="15" customHeight="1" s="20">
      <c r="A6" s="22" t="inlineStr">
        <is>
          <t>Phase 1: Python Core Foundations</t>
        </is>
      </c>
      <c r="B6" s="23" t="inlineStr">
        <is>
          <t>1.5</t>
        </is>
      </c>
      <c r="C6" s="22" t="inlineStr">
        <is>
          <t>Dictionaries, lists &amp; JSON</t>
        </is>
      </c>
      <c r="D6" s="24" t="inlineStr">
        <is>
          <t>Not Started</t>
        </is>
      </c>
      <c r="E6" s="23" t="inlineStr">
        <is>
          <t>No</t>
        </is>
      </c>
      <c r="F6" s="23" t="inlineStr">
        <is>
          <t>No</t>
        </is>
      </c>
      <c r="G6" s="23" t="n"/>
      <c r="H6" s="23" t="n"/>
      <c r="I6" s="22" t="n"/>
    </row>
    <row r="7" ht="15" customHeight="1" s="20">
      <c r="A7" s="25" t="inlineStr">
        <is>
          <t>Phase 2: Frameworks &amp; Libraries</t>
        </is>
      </c>
      <c r="B7" s="26" t="inlineStr">
        <is>
          <t>2.1</t>
        </is>
      </c>
      <c r="C7" s="25" t="inlineStr">
        <is>
          <t>FastAPI</t>
        </is>
      </c>
      <c r="D7" s="24" t="inlineStr">
        <is>
          <t>Not Started</t>
        </is>
      </c>
      <c r="E7" s="26" t="inlineStr">
        <is>
          <t>No</t>
        </is>
      </c>
      <c r="F7" s="26" t="inlineStr">
        <is>
          <t>No</t>
        </is>
      </c>
      <c r="G7" s="26" t="n"/>
      <c r="H7" s="26" t="n"/>
      <c r="I7" s="25" t="n"/>
    </row>
    <row r="8" ht="15" customHeight="1" s="20">
      <c r="A8" s="22" t="inlineStr">
        <is>
          <t>Phase 2: Frameworks &amp; Libraries</t>
        </is>
      </c>
      <c r="B8" s="23" t="inlineStr">
        <is>
          <t>2.2</t>
        </is>
      </c>
      <c r="C8" s="22" t="inlineStr">
        <is>
          <t>Pydantic (v2)</t>
        </is>
      </c>
      <c r="D8" s="24" t="inlineStr">
        <is>
          <t>Not Started</t>
        </is>
      </c>
      <c r="E8" s="23" t="inlineStr">
        <is>
          <t>No</t>
        </is>
      </c>
      <c r="F8" s="23" t="inlineStr">
        <is>
          <t>No</t>
        </is>
      </c>
      <c r="G8" s="23" t="n"/>
      <c r="H8" s="23" t="n"/>
      <c r="I8" s="22" t="n"/>
    </row>
    <row r="9" ht="15" customHeight="1" s="20">
      <c r="A9" s="25" t="inlineStr">
        <is>
          <t>Phase 2: Frameworks &amp; Libraries</t>
        </is>
      </c>
      <c r="B9" s="26" t="inlineStr">
        <is>
          <t>2.3</t>
        </is>
      </c>
      <c r="C9" s="25" t="inlineStr">
        <is>
          <t>LLM SDKs &amp; tool-calling protocol</t>
        </is>
      </c>
      <c r="D9" s="24" t="inlineStr">
        <is>
          <t>Not Started</t>
        </is>
      </c>
      <c r="E9" s="26" t="inlineStr">
        <is>
          <t>No</t>
        </is>
      </c>
      <c r="F9" s="26" t="inlineStr">
        <is>
          <t>No</t>
        </is>
      </c>
      <c r="G9" s="26" t="n"/>
      <c r="H9" s="26" t="n"/>
      <c r="I9" s="25" t="n"/>
    </row>
    <row r="10" ht="15" customHeight="1" s="20">
      <c r="A10" s="22" t="inlineStr">
        <is>
          <t>Phase 2: Frameworks &amp; Libraries</t>
        </is>
      </c>
      <c r="B10" s="23" t="inlineStr">
        <is>
          <t>2.4</t>
        </is>
      </c>
      <c r="C10" s="22" t="inlineStr">
        <is>
          <t>pandas</t>
        </is>
      </c>
      <c r="D10" s="24" t="inlineStr">
        <is>
          <t>Not Started</t>
        </is>
      </c>
      <c r="E10" s="23" t="inlineStr">
        <is>
          <t>No</t>
        </is>
      </c>
      <c r="F10" s="23" t="inlineStr">
        <is>
          <t>No</t>
        </is>
      </c>
      <c r="G10" s="23" t="n"/>
      <c r="H10" s="23" t="n"/>
      <c r="I10" s="22" t="n"/>
    </row>
    <row r="11" ht="15" customHeight="1" s="20">
      <c r="A11" s="25" t="inlineStr">
        <is>
          <t>Phase 2: Frameworks &amp; Libraries</t>
        </is>
      </c>
      <c r="B11" s="26" t="inlineStr">
        <is>
          <t>2.5</t>
        </is>
      </c>
      <c r="C11" s="25" t="inlineStr">
        <is>
          <t>httpx (async HTTP client)</t>
        </is>
      </c>
      <c r="D11" s="24" t="inlineStr">
        <is>
          <t>Not Started</t>
        </is>
      </c>
      <c r="E11" s="26" t="inlineStr">
        <is>
          <t>No</t>
        </is>
      </c>
      <c r="F11" s="26" t="inlineStr">
        <is>
          <t>No</t>
        </is>
      </c>
      <c r="G11" s="26" t="n"/>
      <c r="H11" s="26" t="n"/>
      <c r="I11" s="25" t="n"/>
    </row>
    <row r="12" ht="15" customHeight="1" s="20">
      <c r="A12" s="22" t="inlineStr">
        <is>
          <t>Phase 2: Frameworks &amp; Libraries</t>
        </is>
      </c>
      <c r="B12" s="23" t="inlineStr">
        <is>
          <t>2.6</t>
        </is>
      </c>
      <c r="C12" s="22" t="inlineStr">
        <is>
          <t>Environment config (python-dotenv + os.getenv)</t>
        </is>
      </c>
      <c r="D12" s="24" t="inlineStr">
        <is>
          <t>Not Started</t>
        </is>
      </c>
      <c r="E12" s="23" t="inlineStr">
        <is>
          <t>No</t>
        </is>
      </c>
      <c r="F12" s="23" t="inlineStr">
        <is>
          <t>No</t>
        </is>
      </c>
      <c r="G12" s="23" t="n"/>
      <c r="H12" s="23" t="n"/>
      <c r="I12" s="22" t="n"/>
    </row>
    <row r="13" ht="15" customHeight="1" s="20">
      <c r="A13" s="25" t="inlineStr">
        <is>
          <t>Phase 3: Design Patterns</t>
        </is>
      </c>
      <c r="B13" s="26" t="inlineStr">
        <is>
          <t>3.1</t>
        </is>
      </c>
      <c r="C13" s="25" t="inlineStr">
        <is>
          <t>Factory Pattern</t>
        </is>
      </c>
      <c r="D13" s="24" t="inlineStr">
        <is>
          <t>Not Started</t>
        </is>
      </c>
      <c r="E13" s="26" t="inlineStr">
        <is>
          <t>No</t>
        </is>
      </c>
      <c r="F13" s="26" t="inlineStr">
        <is>
          <t>No</t>
        </is>
      </c>
      <c r="G13" s="26" t="n"/>
      <c r="H13" s="26" t="n"/>
      <c r="I13" s="25" t="n"/>
    </row>
    <row r="14" ht="15" customHeight="1" s="20">
      <c r="A14" s="22" t="inlineStr">
        <is>
          <t>Phase 3: Design Patterns</t>
        </is>
      </c>
      <c r="B14" s="23" t="inlineStr">
        <is>
          <t>3.2</t>
        </is>
      </c>
      <c r="C14" s="22" t="inlineStr">
        <is>
          <t>Strategy / Provider abstraction</t>
        </is>
      </c>
      <c r="D14" s="24" t="inlineStr">
        <is>
          <t>Not Started</t>
        </is>
      </c>
      <c r="E14" s="23" t="inlineStr">
        <is>
          <t>No</t>
        </is>
      </c>
      <c r="F14" s="23" t="inlineStr">
        <is>
          <t>No</t>
        </is>
      </c>
      <c r="G14" s="23" t="n"/>
      <c r="H14" s="23" t="n"/>
      <c r="I14" s="22" t="n"/>
    </row>
    <row r="15" ht="15" customHeight="1" s="20">
      <c r="A15" s="25" t="inlineStr">
        <is>
          <t>Phase 3: Design Patterns</t>
        </is>
      </c>
      <c r="B15" s="26" t="inlineStr">
        <is>
          <t>3.3</t>
        </is>
      </c>
      <c r="C15" s="25" t="inlineStr">
        <is>
          <t>Orchestrator / Router pattern</t>
        </is>
      </c>
      <c r="D15" s="24" t="inlineStr">
        <is>
          <t>Not Started</t>
        </is>
      </c>
      <c r="E15" s="26" t="inlineStr">
        <is>
          <t>No</t>
        </is>
      </c>
      <c r="F15" s="26" t="inlineStr">
        <is>
          <t>No</t>
        </is>
      </c>
      <c r="G15" s="26" t="n"/>
      <c r="H15" s="26" t="n"/>
      <c r="I15" s="25" t="n"/>
    </row>
    <row r="16" ht="15" customHeight="1" s="20">
      <c r="A16" s="22" t="inlineStr">
        <is>
          <t>Phase 3: Design Patterns</t>
        </is>
      </c>
      <c r="B16" s="23" t="inlineStr">
        <is>
          <t>3.4</t>
        </is>
      </c>
      <c r="C16" s="22" t="inlineStr">
        <is>
          <t>The Agentic Loop</t>
        </is>
      </c>
      <c r="D16" s="24" t="inlineStr">
        <is>
          <t>Not Started</t>
        </is>
      </c>
      <c r="E16" s="23" t="inlineStr">
        <is>
          <t>No</t>
        </is>
      </c>
      <c r="F16" s="23" t="inlineStr">
        <is>
          <t>No</t>
        </is>
      </c>
      <c r="G16" s="23" t="n"/>
      <c r="H16" s="23" t="n"/>
      <c r="I16" s="22" t="n"/>
    </row>
    <row r="17" ht="15" customHeight="1" s="20">
      <c r="A17" s="25" t="inlineStr">
        <is>
          <t>Phase 3: Design Patterns</t>
        </is>
      </c>
      <c r="B17" s="26" t="inlineStr">
        <is>
          <t>3.5</t>
        </is>
      </c>
      <c r="C17" s="25" t="inlineStr">
        <is>
          <t>Dependency Injection</t>
        </is>
      </c>
      <c r="D17" s="24" t="inlineStr">
        <is>
          <t>Not Started</t>
        </is>
      </c>
      <c r="E17" s="26" t="inlineStr">
        <is>
          <t>No</t>
        </is>
      </c>
      <c r="F17" s="26" t="inlineStr">
        <is>
          <t>No</t>
        </is>
      </c>
      <c r="G17" s="26" t="n"/>
      <c r="H17" s="26" t="n"/>
      <c r="I17" s="25" t="n"/>
    </row>
    <row r="18" ht="15" customHeight="1" s="20">
      <c r="A18" s="22" t="inlineStr">
        <is>
          <t>Phase 3: Design Patterns</t>
        </is>
      </c>
      <c r="B18" s="23" t="inlineStr">
        <is>
          <t>3.6</t>
        </is>
      </c>
      <c r="C18" s="22" t="inlineStr">
        <is>
          <t>Adapter / Normalizer</t>
        </is>
      </c>
      <c r="D18" s="24" t="inlineStr">
        <is>
          <t>Not Started</t>
        </is>
      </c>
      <c r="E18" s="23" t="inlineStr">
        <is>
          <t>No</t>
        </is>
      </c>
      <c r="F18" s="23" t="inlineStr">
        <is>
          <t>No</t>
        </is>
      </c>
      <c r="G18" s="23" t="n"/>
      <c r="H18" s="23" t="n"/>
      <c r="I18" s="22" t="n"/>
    </row>
    <row r="19" ht="15" customHeight="1" s="20">
      <c r="A19" s="25" t="inlineStr">
        <is>
          <t>Phase 4: Cross-Cutting Concerns</t>
        </is>
      </c>
      <c r="B19" s="26" t="inlineStr">
        <is>
          <t>4.1</t>
        </is>
      </c>
      <c r="C19" s="25" t="inlineStr">
        <is>
          <t>Caching (TTL) + Null Object pattern</t>
        </is>
      </c>
      <c r="D19" s="24" t="inlineStr">
        <is>
          <t>Not Started</t>
        </is>
      </c>
      <c r="E19" s="26" t="inlineStr">
        <is>
          <t>No</t>
        </is>
      </c>
      <c r="F19" s="26" t="inlineStr">
        <is>
          <t>No</t>
        </is>
      </c>
      <c r="G19" s="26" t="n"/>
      <c r="H19" s="26" t="n"/>
      <c r="I19" s="25" t="n"/>
    </row>
    <row r="20" ht="15" customHeight="1" s="20">
      <c r="A20" s="22" t="inlineStr">
        <is>
          <t>Phase 4: Cross-Cutting Concerns</t>
        </is>
      </c>
      <c r="B20" s="23" t="inlineStr">
        <is>
          <t>4.2</t>
        </is>
      </c>
      <c r="C20" s="22" t="inlineStr">
        <is>
          <t>Authentication: JWT + OAuth 2.0</t>
        </is>
      </c>
      <c r="D20" s="24" t="inlineStr">
        <is>
          <t>Not Started</t>
        </is>
      </c>
      <c r="E20" s="23" t="inlineStr">
        <is>
          <t>No</t>
        </is>
      </c>
      <c r="F20" s="23" t="inlineStr">
        <is>
          <t>No</t>
        </is>
      </c>
      <c r="G20" s="23" t="n"/>
      <c r="H20" s="23" t="n"/>
      <c r="I20" s="22" t="n"/>
    </row>
    <row r="21" ht="15" customHeight="1" s="20">
      <c r="A21" s="25" t="inlineStr">
        <is>
          <t>Phase 4: Cross-Cutting Concerns</t>
        </is>
      </c>
      <c r="B21" s="26" t="inlineStr">
        <is>
          <t>4.3</t>
        </is>
      </c>
      <c r="C21" s="25" t="inlineStr">
        <is>
          <t>Logging &amp; tracing</t>
        </is>
      </c>
      <c r="D21" s="24" t="inlineStr">
        <is>
          <t>Not Started</t>
        </is>
      </c>
      <c r="E21" s="26" t="inlineStr">
        <is>
          <t>No</t>
        </is>
      </c>
      <c r="F21" s="26" t="inlineStr">
        <is>
          <t>No</t>
        </is>
      </c>
      <c r="G21" s="26" t="n"/>
      <c r="H21" s="26" t="n"/>
      <c r="I21" s="25" t="n"/>
    </row>
    <row r="22" ht="15" customHeight="1" s="20">
      <c r="A22" s="22" t="inlineStr">
        <is>
          <t>Phase 4: Cross-Cutting Concerns</t>
        </is>
      </c>
      <c r="B22" s="23" t="inlineStr">
        <is>
          <t>4.4</t>
        </is>
      </c>
      <c r="C22" s="22" t="inlineStr">
        <is>
          <t>Error handling &amp; resilience</t>
        </is>
      </c>
      <c r="D22" s="24" t="inlineStr">
        <is>
          <t>Not Started</t>
        </is>
      </c>
      <c r="E22" s="23" t="inlineStr">
        <is>
          <t>No</t>
        </is>
      </c>
      <c r="F22" s="23" t="inlineStr">
        <is>
          <t>No</t>
        </is>
      </c>
      <c r="G22" s="23" t="n"/>
      <c r="H22" s="23" t="n"/>
      <c r="I22" s="22" t="n"/>
    </row>
    <row r="23" ht="15" customHeight="1" s="20">
      <c r="A23" s="25" t="inlineStr">
        <is>
          <t>Phase 5: Domain &amp; Project-Specific</t>
        </is>
      </c>
      <c r="B23" s="26" t="inlineStr">
        <is>
          <t>5.1</t>
        </is>
      </c>
      <c r="C23" s="25" t="inlineStr">
        <is>
          <t>Layered architecture (mental model)</t>
        </is>
      </c>
      <c r="D23" s="24" t="inlineStr">
        <is>
          <t>Not Started</t>
        </is>
      </c>
      <c r="E23" s="26" t="inlineStr">
        <is>
          <t>No</t>
        </is>
      </c>
      <c r="F23" s="26" t="inlineStr">
        <is>
          <t>No</t>
        </is>
      </c>
      <c r="G23" s="26" t="n"/>
      <c r="H23" s="26" t="n"/>
      <c r="I23" s="25" t="n"/>
    </row>
    <row r="24" ht="15" customHeight="1" s="20">
      <c r="A24" s="22" t="inlineStr">
        <is>
          <t>Phase 5: Domain &amp; Project-Specific</t>
        </is>
      </c>
      <c r="B24" s="23" t="inlineStr">
        <is>
          <t>5.2</t>
        </is>
      </c>
      <c r="C24" s="22" t="inlineStr">
        <is>
          <t>Construction/BIM domain vocabulary</t>
        </is>
      </c>
      <c r="D24" s="24" t="inlineStr">
        <is>
          <t>Not Started</t>
        </is>
      </c>
      <c r="E24" s="23" t="inlineStr">
        <is>
          <t>No</t>
        </is>
      </c>
      <c r="F24" s="23" t="inlineStr">
        <is>
          <t>No</t>
        </is>
      </c>
      <c r="G24" s="23" t="n"/>
      <c r="H24" s="23" t="n"/>
      <c r="I24" s="22" t="n"/>
    </row>
    <row r="25" ht="15" customHeight="1" s="20">
      <c r="A25" s="25" t="inlineStr">
        <is>
          <t>Phase 5: Domain &amp; Project-Specific</t>
        </is>
      </c>
      <c r="B25" s="26" t="inlineStr">
        <is>
          <t>5.3</t>
        </is>
      </c>
      <c r="C25" s="25" t="inlineStr">
        <is>
          <t>Chart/response contract</t>
        </is>
      </c>
      <c r="D25" s="24" t="inlineStr">
        <is>
          <t>Not Started</t>
        </is>
      </c>
      <c r="E25" s="26" t="inlineStr">
        <is>
          <t>No</t>
        </is>
      </c>
      <c r="F25" s="26" t="inlineStr">
        <is>
          <t>No</t>
        </is>
      </c>
      <c r="G25" s="26" t="n"/>
      <c r="H25" s="26" t="n"/>
      <c r="I25" s="25" t="n"/>
    </row>
    <row r="26" ht="15" customHeight="1" s="20">
      <c r="A26" s="22" t="inlineStr">
        <is>
          <t>Phase 5: Domain &amp; Project-Specific</t>
        </is>
      </c>
      <c r="B26" s="23" t="inlineStr">
        <is>
          <t>5.4</t>
        </is>
      </c>
      <c r="C26" s="22" t="inlineStr">
        <is>
          <t>Project layout &amp; packaging</t>
        </is>
      </c>
      <c r="D26" s="24" t="inlineStr">
        <is>
          <t>Not Started</t>
        </is>
      </c>
      <c r="E26" s="23" t="inlineStr">
        <is>
          <t>No</t>
        </is>
      </c>
      <c r="F26" s="23" t="inlineStr">
        <is>
          <t>No</t>
        </is>
      </c>
      <c r="G26" s="23" t="n"/>
      <c r="H26" s="23" t="n"/>
      <c r="I26" s="22" t="n"/>
    </row>
    <row r="27" ht="23.85" customHeight="1" s="20">
      <c r="A27" s="25" t="inlineStr">
        <is>
          <t>Capstone</t>
        </is>
      </c>
      <c r="B27" s="26" t="inlineStr">
        <is>
          <t>C</t>
        </is>
      </c>
      <c r="C27" s="25" t="inlineStr">
        <is>
          <t>Trace one request end-to-end (debugger walkthrough)</t>
        </is>
      </c>
      <c r="D27" s="24" t="inlineStr">
        <is>
          <t>Not Started</t>
        </is>
      </c>
      <c r="E27" s="26" t="inlineStr">
        <is>
          <t>No</t>
        </is>
      </c>
      <c r="F27" s="26" t="inlineStr">
        <is>
          <t>No</t>
        </is>
      </c>
      <c r="G27" s="26" t="n"/>
      <c r="H27" s="26" t="n"/>
      <c r="I27" s="25" t="n"/>
    </row>
  </sheetData>
  <conditionalFormatting sqref="D2:D27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"Practiced"</formula>
    </cfRule>
    <cfRule type="cellIs" rank="0" priority="5" equalAverage="0" operator="equal" aboveAverage="0" dxfId="3" text="" percent="0" bottom="0">
      <formula>"Not Started"</formula>
    </cfRule>
  </conditionalFormatting>
  <dataValidations count="2">
    <dataValidation sqref="D2:D27" showDropDown="0" showInputMessage="0" showErrorMessage="0" allowBlank="0" errorTitle="Invalid entry" error="Choose a value from the list" type="list" errorStyle="stop" operator="between">
      <formula1>"Not Started,In Progress,Practiced,Done"</formula1>
      <formula2>0</formula2>
    </dataValidation>
    <dataValidation sqref="E2:F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19" min="1" max="1"/>
    <col width="9" customWidth="1" style="19" min="2" max="2"/>
    <col width="12" customWidth="1" style="19" min="3" max="4"/>
    <col width="11" customWidth="1" style="19" min="5" max="5"/>
    <col width="9" customWidth="1" style="19" min="6" max="6"/>
    <col width="11" customWidth="1" style="19" min="7" max="7"/>
  </cols>
  <sheetData>
    <row r="1" ht="19.7" customHeight="1" s="20">
      <c r="A1" s="27" t="inlineStr">
        <is>
          <t>Codebase Learning — Progress Dashboard</t>
        </is>
      </c>
    </row>
    <row r="2" ht="15" customHeight="1" s="20">
      <c r="A2" s="28" t="inlineStr">
        <is>
          <t>Live counts pull from the Tracker sheet — update statuses there.</t>
        </is>
      </c>
    </row>
    <row r="4" ht="15" customHeight="1" s="20">
      <c r="A4" s="29" t="inlineStr">
        <is>
          <t>Overall Completion</t>
        </is>
      </c>
    </row>
    <row r="5" ht="15" customHeight="1" s="20">
      <c r="A5" s="30" t="inlineStr">
        <is>
          <t>Total Concepts</t>
        </is>
      </c>
      <c r="B5" s="24">
        <f>COUNTA(Tracker!C2:C27)</f>
        <v/>
      </c>
    </row>
    <row r="6" ht="15" customHeight="1" s="20">
      <c r="A6" s="30" t="inlineStr">
        <is>
          <t>Done</t>
        </is>
      </c>
      <c r="B6" s="24">
        <f>COUNTIF(Tracker!D2:D27,"Done")</f>
        <v/>
      </c>
    </row>
    <row r="7" ht="15" customHeight="1" s="20">
      <c r="A7" s="30" t="inlineStr">
        <is>
          <t>% Complete</t>
        </is>
      </c>
      <c r="B7" s="31">
        <f>B6/B5</f>
        <v/>
      </c>
    </row>
    <row r="10" ht="26.85" customHeight="1" s="20">
      <c r="A10" s="21" t="inlineStr">
        <is>
          <t>Phase</t>
        </is>
      </c>
      <c r="B10" s="21" t="inlineStr">
        <is>
          <t>Total</t>
        </is>
      </c>
      <c r="C10" s="21" t="inlineStr">
        <is>
          <t>Not Started</t>
        </is>
      </c>
      <c r="D10" s="21" t="inlineStr">
        <is>
          <t>In Progress</t>
        </is>
      </c>
      <c r="E10" s="21" t="inlineStr">
        <is>
          <t>Practiced</t>
        </is>
      </c>
      <c r="F10" s="21" t="inlineStr">
        <is>
          <t>Done</t>
        </is>
      </c>
      <c r="G10" s="21" t="inlineStr">
        <is>
          <t>% Complete</t>
        </is>
      </c>
    </row>
    <row r="11" ht="15" customHeight="1" s="20">
      <c r="A11" s="22" t="inlineStr">
        <is>
          <t>Phase 1: Python Core Foundations</t>
        </is>
      </c>
      <c r="B11" s="23">
        <f>COUNTIF(Tracker!A2:A27,A11)</f>
        <v/>
      </c>
      <c r="C11" s="23">
        <f>COUNTIFS(Tracker!A2:A27,A11,Tracker!D2:D27,"Not Started")</f>
        <v/>
      </c>
      <c r="D11" s="23">
        <f>COUNTIFS(Tracker!A2:A27,A11,Tracker!D2:D27,"In Progress")</f>
        <v/>
      </c>
      <c r="E11" s="23">
        <f>COUNTIFS(Tracker!A2:A27,A11,Tracker!D2:D27,"Practiced")</f>
        <v/>
      </c>
      <c r="F11" s="23">
        <f>COUNTIFS(Tracker!A2:A27,A11,Tracker!D2:D27,"Done")</f>
        <v/>
      </c>
      <c r="G11" s="32">
        <f>F11/B11</f>
        <v/>
      </c>
    </row>
    <row r="12" ht="15" customHeight="1" s="20">
      <c r="A12" s="25" t="inlineStr">
        <is>
          <t>Phase 2: Frameworks &amp; Libraries</t>
        </is>
      </c>
      <c r="B12" s="26">
        <f>COUNTIF(Tracker!A2:A27,A12)</f>
        <v/>
      </c>
      <c r="C12" s="26">
        <f>COUNTIFS(Tracker!A2:A27,A12,Tracker!D2:D27,"Not Started")</f>
        <v/>
      </c>
      <c r="D12" s="26">
        <f>COUNTIFS(Tracker!A2:A27,A12,Tracker!D2:D27,"In Progress")</f>
        <v/>
      </c>
      <c r="E12" s="26">
        <f>COUNTIFS(Tracker!A2:A27,A12,Tracker!D2:D27,"Practiced")</f>
        <v/>
      </c>
      <c r="F12" s="26">
        <f>COUNTIFS(Tracker!A2:A27,A12,Tracker!D2:D27,"Done")</f>
        <v/>
      </c>
      <c r="G12" s="33">
        <f>F12/B12</f>
        <v/>
      </c>
    </row>
    <row r="13" ht="15" customHeight="1" s="20">
      <c r="A13" s="22" t="inlineStr">
        <is>
          <t>Phase 3: Design Patterns</t>
        </is>
      </c>
      <c r="B13" s="23">
        <f>COUNTIF(Tracker!A2:A27,A13)</f>
        <v/>
      </c>
      <c r="C13" s="23">
        <f>COUNTIFS(Tracker!A2:A27,A13,Tracker!D2:D27,"Not Started")</f>
        <v/>
      </c>
      <c r="D13" s="23">
        <f>COUNTIFS(Tracker!A2:A27,A13,Tracker!D2:D27,"In Progress")</f>
        <v/>
      </c>
      <c r="E13" s="23">
        <f>COUNTIFS(Tracker!A2:A27,A13,Tracker!D2:D27,"Practiced")</f>
        <v/>
      </c>
      <c r="F13" s="23">
        <f>COUNTIFS(Tracker!A2:A27,A13,Tracker!D2:D27,"Done")</f>
        <v/>
      </c>
      <c r="G13" s="32">
        <f>F13/B13</f>
        <v/>
      </c>
    </row>
    <row r="14" ht="15" customHeight="1" s="20">
      <c r="A14" s="25" t="inlineStr">
        <is>
          <t>Phase 4: Cross-Cutting Concerns</t>
        </is>
      </c>
      <c r="B14" s="26">
        <f>COUNTIF(Tracker!A2:A27,A14)</f>
        <v/>
      </c>
      <c r="C14" s="26">
        <f>COUNTIFS(Tracker!A2:A27,A14,Tracker!D2:D27,"Not Started")</f>
        <v/>
      </c>
      <c r="D14" s="26">
        <f>COUNTIFS(Tracker!A2:A27,A14,Tracker!D2:D27,"In Progress")</f>
        <v/>
      </c>
      <c r="E14" s="26">
        <f>COUNTIFS(Tracker!A2:A27,A14,Tracker!D2:D27,"Practiced")</f>
        <v/>
      </c>
      <c r="F14" s="26">
        <f>COUNTIFS(Tracker!A2:A27,A14,Tracker!D2:D27,"Done")</f>
        <v/>
      </c>
      <c r="G14" s="33">
        <f>F14/B14</f>
        <v/>
      </c>
    </row>
    <row r="15" ht="15" customHeight="1" s="20">
      <c r="A15" s="22" t="inlineStr">
        <is>
          <t>Phase 5: Domain &amp; Project-Specific</t>
        </is>
      </c>
      <c r="B15" s="23">
        <f>COUNTIF(Tracker!A2:A27,A15)</f>
        <v/>
      </c>
      <c r="C15" s="23">
        <f>COUNTIFS(Tracker!A2:A27,A15,Tracker!D2:D27,"Not Started")</f>
        <v/>
      </c>
      <c r="D15" s="23">
        <f>COUNTIFS(Tracker!A2:A27,A15,Tracker!D2:D27,"In Progress")</f>
        <v/>
      </c>
      <c r="E15" s="23">
        <f>COUNTIFS(Tracker!A2:A27,A15,Tracker!D2:D27,"Practiced")</f>
        <v/>
      </c>
      <c r="F15" s="23">
        <f>COUNTIFS(Tracker!A2:A27,A15,Tracker!D2:D27,"Done")</f>
        <v/>
      </c>
      <c r="G15" s="32">
        <f>F15/B15</f>
        <v/>
      </c>
    </row>
    <row r="16" ht="15" customHeight="1" s="20">
      <c r="A16" s="25" t="inlineStr">
        <is>
          <t>Capstone</t>
        </is>
      </c>
      <c r="B16" s="26">
        <f>COUNTIF(Tracker!A2:A27,A16)</f>
        <v/>
      </c>
      <c r="C16" s="26">
        <f>COUNTIFS(Tracker!A2:A27,A16,Tracker!D2:D27,"Not Started")</f>
        <v/>
      </c>
      <c r="D16" s="26">
        <f>COUNTIFS(Tracker!A2:A27,A16,Tracker!D2:D27,"In Progress")</f>
        <v/>
      </c>
      <c r="E16" s="26">
        <f>COUNTIFS(Tracker!A2:A27,A16,Tracker!D2:D27,"Practiced")</f>
        <v/>
      </c>
      <c r="F16" s="26">
        <f>COUNTIFS(Tracker!A2:A27,A16,Tracker!D2:D27,"Done")</f>
        <v/>
      </c>
      <c r="G16" s="33">
        <f>F16/B16</f>
        <v/>
      </c>
    </row>
    <row r="17" ht="15" customHeight="1" s="20">
      <c r="A17" s="34" t="inlineStr">
        <is>
          <t>TOTAL</t>
        </is>
      </c>
      <c r="B17" s="35">
        <f>SUM(B11:B16)</f>
        <v/>
      </c>
      <c r="C17" s="35">
        <f>SUM(C11:C16)</f>
        <v/>
      </c>
      <c r="D17" s="35">
        <f>SUM(D11:D16)</f>
        <v/>
      </c>
      <c r="E17" s="35">
        <f>SUM(E11:E16)</f>
        <v/>
      </c>
      <c r="F17" s="35">
        <f>SUM(F11:F16)</f>
        <v/>
      </c>
      <c r="G17" s="36">
        <f>F17/B17</f>
        <v/>
      </c>
    </row>
  </sheetData>
  <mergeCells count="3">
    <mergeCell ref="A4:C4"/>
    <mergeCell ref="A2:G2"/>
    <mergeCell ref="A1:G1"/>
  </mergeCells>
  <conditionalFormatting sqref="B7">
    <cfRule type="cellIs" rank="0" priority="2" equalAverage="0" operator="greaterThanOrEqual" aboveAverage="0" dxfId="0" text="" percent="0" bottom="0">
      <formula>0.99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9" min="1" max="1"/>
    <col width="70" customWidth="1" style="19" min="2" max="2"/>
    <col width="13" customWidth="1" style="19" min="3" max="3"/>
    <col width="14" customWidth="1" style="19" min="4" max="4"/>
  </cols>
  <sheetData>
    <row r="1" ht="19.7" customHeight="1" s="20">
      <c r="A1" s="27" t="inlineStr">
        <is>
          <t>Self-Assessment Checklist</t>
        </is>
      </c>
    </row>
    <row r="2" ht="15" customHeight="1" s="20">
      <c r="A2" s="28" t="inlineStr">
        <is>
          <t>From the learning plan — mark each once you can answer it unaided.</t>
        </is>
      </c>
    </row>
    <row r="4" ht="15" customHeight="1" s="20">
      <c r="A4" s="21" t="inlineStr">
        <is>
          <t>#</t>
        </is>
      </c>
      <c r="B4" s="21" t="inlineStr">
        <is>
          <t>Checklist Item</t>
        </is>
      </c>
      <c r="C4" s="21" t="inlineStr">
        <is>
          <t>Completed</t>
        </is>
      </c>
      <c r="D4" s="21" t="inlineStr">
        <is>
          <t>Date</t>
        </is>
      </c>
    </row>
    <row r="5" ht="23.85" customHeight="1" s="20">
      <c r="A5" s="23" t="n">
        <v>1</v>
      </c>
      <c r="B5" s="22" t="inlineStr">
        <is>
          <t>I can explain why BaseAgent is an ABC and what subclassing actually buys the project.</t>
        </is>
      </c>
      <c r="C5" s="23" t="inlineStr">
        <is>
          <t>No</t>
        </is>
      </c>
      <c r="D5" s="23" t="n"/>
    </row>
    <row r="6" ht="15" customHeight="1" s="20">
      <c r="A6" s="26" t="n">
        <v>2</v>
      </c>
      <c r="B6" s="25" t="inlineStr">
        <is>
          <t>I can explain, without notes, what happens if you call an async function without await.</t>
        </is>
      </c>
      <c r="C6" s="26" t="inlineStr">
        <is>
          <t>No</t>
        </is>
      </c>
      <c r="D6" s="26" t="n"/>
    </row>
    <row r="7" ht="15" customHeight="1" s="20">
      <c r="A7" s="23" t="n">
        <v>3</v>
      </c>
      <c r="B7" s="22" t="inlineStr">
        <is>
          <t>I can explain why dataclasses and Pydantic models both exist in this codebase.</t>
        </is>
      </c>
      <c r="C7" s="23" t="inlineStr">
        <is>
          <t>No</t>
        </is>
      </c>
      <c r="D7" s="23" t="n"/>
    </row>
    <row r="8" ht="15" customHeight="1" s="20">
      <c r="A8" s="26" t="n">
        <v>4</v>
      </c>
      <c r="B8" s="25" t="inlineStr">
        <is>
          <t>I can describe the agentic loop's stopping condition from memory.</t>
        </is>
      </c>
      <c r="C8" s="26" t="inlineStr">
        <is>
          <t>No</t>
        </is>
      </c>
      <c r="D8" s="26" t="n"/>
    </row>
    <row r="9" ht="23.85" customHeight="1" s="20">
      <c r="A9" s="23" t="n">
        <v>5</v>
      </c>
      <c r="B9" s="22" t="inlineStr">
        <is>
          <t>I can explain the three-tier fallback shape (primary → fallback → default) and name two places it appears.</t>
        </is>
      </c>
      <c r="C9" s="23" t="inlineStr">
        <is>
          <t>No</t>
        </is>
      </c>
      <c r="D9" s="23" t="n"/>
    </row>
    <row r="10" ht="15" customHeight="1" s="20">
      <c r="A10" s="26" t="n">
        <v>6</v>
      </c>
      <c r="B10" s="25" t="inlineStr">
        <is>
          <t>I can explain why live data sources skip the cache.</t>
        </is>
      </c>
      <c r="C10" s="26" t="inlineStr">
        <is>
          <t>No</t>
        </is>
      </c>
      <c r="D10" s="26" t="n"/>
    </row>
    <row r="11" ht="23.85" customHeight="1" s="20">
      <c r="A11" s="23" t="n">
        <v>7</v>
      </c>
      <c r="B11" s="22" t="inlineStr">
        <is>
          <t>I can describe the full request path from frontend to data layer and back, without looking it up.</t>
        </is>
      </c>
      <c r="C11" s="23" t="inlineStr">
        <is>
          <t>No</t>
        </is>
      </c>
      <c r="D11" s="23" t="n"/>
    </row>
    <row r="12" ht="15" customHeight="1" s="20">
      <c r="A12" s="26" t="n">
        <v>8</v>
      </c>
      <c r="B12" s="25" t="inlineStr">
        <is>
          <t>I've completed the end-to-end debugger trace at least once.</t>
        </is>
      </c>
      <c r="C12" s="26" t="inlineStr">
        <is>
          <t>No</t>
        </is>
      </c>
      <c r="D12" s="26" t="n"/>
    </row>
    <row r="14" ht="15" customHeight="1" s="20">
      <c r="A14" s="37" t="inlineStr">
        <is>
          <t>Completed</t>
        </is>
      </c>
      <c r="B14" s="37">
        <f>COUNTIF(C5:C12,"Yes")&amp;" / "&amp;COUNTA(C5:C12)</f>
        <v/>
      </c>
    </row>
  </sheetData>
  <mergeCells count="2">
    <mergeCell ref="A1:C1"/>
    <mergeCell ref="A2:C2"/>
  </mergeCells>
  <conditionalFormatting sqref="C5:C12">
    <cfRule type="cellIs" rank="0" priority="2" equalAverage="0" operator="equal" aboveAverage="0" dxfId="0" text="" percent="0" bottom="0">
      <formula>"Yes"</formula>
    </cfRule>
    <cfRule type="cellIs" rank="0" priority="3" equalAverage="0" operator="equal" aboveAverage="0" dxfId="3" text="" percent="0" bottom="0">
      <formula>"No"</formula>
    </cfRule>
  </conditionalFormatting>
  <dataValidations count="1">
    <dataValidation sqref="C5:C12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0" min="1" max="1"/>
    <col width="13" customWidth="1" style="20" min="2" max="2"/>
    <col width="60" customWidth="1" style="20" min="3" max="3"/>
  </cols>
  <sheetData>
    <row r="1">
      <c r="A1" s="38" t="inlineStr">
        <is>
          <t>Date</t>
        </is>
      </c>
      <c r="B1" s="38" t="inlineStr">
        <is>
          <t>Hours Spent</t>
        </is>
      </c>
      <c r="C1" s="38" t="inlineStr">
        <is>
          <t>Notes</t>
        </is>
      </c>
    </row>
    <row r="2">
      <c r="A2" s="39" t="n"/>
      <c r="B2" s="40" t="n"/>
    </row>
    <row r="3">
      <c r="A3" s="39" t="n"/>
      <c r="B3" s="40" t="n"/>
    </row>
    <row r="4">
      <c r="A4" s="39" t="n"/>
      <c r="B4" s="40" t="n"/>
    </row>
    <row r="5">
      <c r="A5" s="39" t="n"/>
      <c r="B5" s="40" t="n"/>
    </row>
    <row r="6">
      <c r="A6" s="39" t="n"/>
      <c r="B6" s="40" t="n"/>
    </row>
    <row r="7">
      <c r="A7" s="39" t="n"/>
      <c r="B7" s="40" t="n"/>
    </row>
    <row r="8">
      <c r="A8" s="39" t="n"/>
      <c r="B8" s="40" t="n"/>
    </row>
    <row r="9">
      <c r="A9" s="39" t="n"/>
      <c r="B9" s="40" t="n"/>
    </row>
    <row r="10">
      <c r="A10" s="39" t="n"/>
      <c r="B10" s="40" t="n"/>
    </row>
    <row r="11">
      <c r="A11" s="39" t="n"/>
      <c r="B11" s="40" t="n"/>
    </row>
    <row r="12">
      <c r="A12" s="39" t="n"/>
      <c r="B12" s="40" t="n"/>
    </row>
    <row r="13">
      <c r="A13" s="39" t="n"/>
      <c r="B13" s="40" t="n"/>
    </row>
    <row r="14">
      <c r="A14" s="39" t="n"/>
      <c r="B14" s="40" t="n"/>
    </row>
    <row r="15">
      <c r="A15" s="39" t="n"/>
      <c r="B15" s="40" t="n"/>
    </row>
    <row r="16">
      <c r="A16" s="39" t="n"/>
      <c r="B16" s="40" t="n"/>
    </row>
    <row r="17">
      <c r="A17" s="39" t="n"/>
      <c r="B17" s="40" t="n"/>
    </row>
    <row r="18">
      <c r="A18" s="39" t="n"/>
      <c r="B18" s="40" t="n"/>
    </row>
    <row r="19">
      <c r="A19" s="39" t="n"/>
      <c r="B19" s="40" t="n"/>
    </row>
    <row r="20">
      <c r="A20" s="39" t="n"/>
      <c r="B20" s="40" t="n"/>
    </row>
    <row r="21">
      <c r="A21" s="39" t="n"/>
      <c r="B21" s="40" t="n"/>
    </row>
    <row r="22">
      <c r="A22" s="39" t="n"/>
      <c r="B22" s="40" t="n"/>
    </row>
    <row r="23">
      <c r="A23" s="39" t="n"/>
      <c r="B23" s="40" t="n"/>
    </row>
    <row r="24">
      <c r="A24" s="39" t="n"/>
      <c r="B24" s="40" t="n"/>
    </row>
    <row r="25">
      <c r="A25" s="39" t="n"/>
      <c r="B25" s="40" t="n"/>
    </row>
    <row r="26">
      <c r="A26" s="39" t="n"/>
      <c r="B26" s="40" t="n"/>
    </row>
    <row r="27">
      <c r="A27" s="39" t="n"/>
      <c r="B27" s="40" t="n"/>
    </row>
    <row r="28">
      <c r="A28" s="39" t="n"/>
      <c r="B28" s="40" t="n"/>
    </row>
    <row r="29">
      <c r="A29" s="39" t="n"/>
      <c r="B29" s="40" t="n"/>
    </row>
    <row r="30">
      <c r="A30" s="39" t="n"/>
      <c r="B30" s="40" t="n"/>
    </row>
    <row r="31">
      <c r="A31" s="39" t="n"/>
      <c r="B31" s="40" t="n"/>
    </row>
    <row r="32">
      <c r="A32" s="39" t="n"/>
      <c r="B32" s="40" t="n"/>
    </row>
    <row r="33">
      <c r="A33" s="39" t="n"/>
      <c r="B33" s="40" t="n"/>
    </row>
    <row r="34">
      <c r="A34" s="39" t="n"/>
      <c r="B34" s="40" t="n"/>
    </row>
    <row r="35">
      <c r="A35" s="39" t="n"/>
      <c r="B35" s="40" t="n"/>
    </row>
    <row r="36">
      <c r="A36" s="39" t="n"/>
      <c r="B36" s="40" t="n"/>
    </row>
    <row r="37">
      <c r="A37" s="39" t="n"/>
      <c r="B37" s="40" t="n"/>
    </row>
    <row r="38">
      <c r="A38" s="39" t="n"/>
      <c r="B38" s="40" t="n"/>
    </row>
    <row r="39">
      <c r="A39" s="39" t="n"/>
      <c r="B39" s="40" t="n"/>
    </row>
    <row r="40">
      <c r="A40" s="39" t="n"/>
      <c r="B40" s="40" t="n"/>
    </row>
    <row r="41">
      <c r="A41" s="39" t="n"/>
      <c r="B41" s="40" t="n"/>
    </row>
    <row r="42">
      <c r="A42" s="39" t="n"/>
      <c r="B42" s="40" t="n"/>
    </row>
    <row r="43">
      <c r="A43" s="39" t="n"/>
      <c r="B43" s="40" t="n"/>
    </row>
    <row r="44">
      <c r="A44" s="39" t="n"/>
      <c r="B44" s="40" t="n"/>
    </row>
    <row r="45">
      <c r="A45" s="39" t="n"/>
      <c r="B45" s="40" t="n"/>
    </row>
    <row r="46">
      <c r="A46" s="39" t="n"/>
      <c r="B46" s="40" t="n"/>
    </row>
    <row r="47">
      <c r="A47" s="39" t="n"/>
      <c r="B47" s="40" t="n"/>
    </row>
    <row r="48">
      <c r="A48" s="39" t="n"/>
      <c r="B48" s="40" t="n"/>
    </row>
    <row r="49">
      <c r="A49" s="39" t="n"/>
      <c r="B49" s="40" t="n"/>
    </row>
    <row r="50">
      <c r="A50" s="39" t="n"/>
      <c r="B50" s="40" t="n"/>
    </row>
    <row r="51">
      <c r="A51" s="39" t="n"/>
      <c r="B51" s="40" t="n"/>
    </row>
    <row r="52">
      <c r="A52" s="39" t="n"/>
      <c r="B52" s="40" t="n"/>
    </row>
    <row r="53">
      <c r="A53" s="39" t="n"/>
      <c r="B53" s="40" t="n"/>
    </row>
    <row r="54">
      <c r="A54" s="39" t="n"/>
      <c r="B54" s="40" t="n"/>
    </row>
    <row r="55">
      <c r="A55" s="39" t="n"/>
      <c r="B55" s="40" t="n"/>
    </row>
    <row r="56">
      <c r="A56" s="39" t="n"/>
      <c r="B56" s="40" t="n"/>
    </row>
    <row r="57">
      <c r="A57" s="39" t="n"/>
      <c r="B57" s="40" t="n"/>
    </row>
    <row r="58">
      <c r="A58" s="39" t="n"/>
      <c r="B58" s="40" t="n"/>
    </row>
    <row r="59">
      <c r="A59" s="39" t="n"/>
      <c r="B59" s="40" t="n"/>
    </row>
    <row r="60">
      <c r="A60" s="39" t="n"/>
      <c r="B60" s="40" t="n"/>
    </row>
    <row r="61">
      <c r="A61" s="39" t="n"/>
      <c r="B61" s="40" t="n"/>
    </row>
    <row r="62">
      <c r="A62" s="39" t="n"/>
      <c r="B62" s="40" t="n"/>
    </row>
    <row r="63">
      <c r="A63" s="39" t="n"/>
      <c r="B63" s="40" t="n"/>
    </row>
    <row r="64">
      <c r="A64" s="39" t="n"/>
      <c r="B64" s="40" t="n"/>
    </row>
    <row r="65">
      <c r="A65" s="39" t="n"/>
      <c r="B65" s="40" t="n"/>
    </row>
    <row r="66">
      <c r="A66" s="39" t="n"/>
      <c r="B66" s="40" t="n"/>
    </row>
    <row r="67">
      <c r="A67" s="39" t="n"/>
      <c r="B67" s="40" t="n"/>
    </row>
    <row r="68">
      <c r="A68" s="39" t="n"/>
      <c r="B68" s="40" t="n"/>
    </row>
    <row r="69">
      <c r="A69" s="39" t="n"/>
      <c r="B69" s="40" t="n"/>
    </row>
    <row r="70">
      <c r="A70" s="39" t="n"/>
      <c r="B70" s="40" t="n"/>
    </row>
    <row r="71">
      <c r="A71" s="39" t="n"/>
      <c r="B71" s="40" t="n"/>
    </row>
    <row r="72">
      <c r="A72" s="39" t="n"/>
      <c r="B72" s="40" t="n"/>
    </row>
    <row r="73">
      <c r="A73" s="39" t="n"/>
      <c r="B73" s="40" t="n"/>
    </row>
    <row r="74">
      <c r="A74" s="39" t="n"/>
      <c r="B74" s="40" t="n"/>
    </row>
    <row r="75">
      <c r="A75" s="39" t="n"/>
      <c r="B75" s="40" t="n"/>
    </row>
    <row r="76">
      <c r="A76" s="39" t="n"/>
      <c r="B76" s="40" t="n"/>
    </row>
    <row r="77">
      <c r="A77" s="39" t="n"/>
      <c r="B77" s="40" t="n"/>
    </row>
    <row r="78">
      <c r="A78" s="39" t="n"/>
      <c r="B78" s="40" t="n"/>
    </row>
    <row r="79">
      <c r="A79" s="39" t="n"/>
      <c r="B79" s="40" t="n"/>
    </row>
    <row r="80">
      <c r="A80" s="39" t="n"/>
      <c r="B80" s="40" t="n"/>
    </row>
    <row r="81">
      <c r="A81" s="39" t="n"/>
      <c r="B81" s="40" t="n"/>
    </row>
    <row r="82">
      <c r="A82" s="39" t="n"/>
      <c r="B82" s="40" t="n"/>
    </row>
    <row r="83">
      <c r="A83" s="39" t="n"/>
      <c r="B83" s="40" t="n"/>
    </row>
    <row r="84">
      <c r="A84" s="39" t="n"/>
      <c r="B84" s="40" t="n"/>
    </row>
    <row r="85">
      <c r="A85" s="39" t="n"/>
      <c r="B85" s="40" t="n"/>
    </row>
    <row r="86">
      <c r="A86" s="39" t="n"/>
      <c r="B86" s="40" t="n"/>
    </row>
    <row r="87">
      <c r="A87" s="39" t="n"/>
      <c r="B87" s="40" t="n"/>
    </row>
    <row r="88">
      <c r="A88" s="39" t="n"/>
      <c r="B88" s="40" t="n"/>
    </row>
    <row r="89">
      <c r="A89" s="39" t="n"/>
      <c r="B89" s="40" t="n"/>
    </row>
    <row r="90">
      <c r="A90" s="39" t="n"/>
      <c r="B90" s="40" t="n"/>
    </row>
    <row r="91">
      <c r="A91" s="39" t="n"/>
      <c r="B91" s="40" t="n"/>
    </row>
    <row r="92">
      <c r="A92" s="39" t="n"/>
      <c r="B92" s="40" t="n"/>
    </row>
    <row r="93">
      <c r="A93" s="39" t="n"/>
      <c r="B93" s="40" t="n"/>
    </row>
    <row r="94">
      <c r="A94" s="39" t="n"/>
      <c r="B94" s="40" t="n"/>
    </row>
    <row r="95">
      <c r="A95" s="39" t="n"/>
      <c r="B95" s="40" t="n"/>
    </row>
    <row r="96">
      <c r="A96" s="39" t="n"/>
      <c r="B96" s="40" t="n"/>
    </row>
    <row r="97">
      <c r="A97" s="39" t="n"/>
      <c r="B97" s="40" t="n"/>
    </row>
    <row r="98">
      <c r="A98" s="39" t="n"/>
      <c r="B98" s="40" t="n"/>
    </row>
    <row r="99">
      <c r="A99" s="39" t="n"/>
      <c r="B99" s="40" t="n"/>
    </row>
    <row r="100">
      <c r="A100" s="39" t="n"/>
      <c r="B100" s="40" t="n"/>
    </row>
    <row r="101">
      <c r="A101" s="39" t="n"/>
      <c r="B101" s="40" t="n"/>
    </row>
    <row r="102">
      <c r="A102" s="39" t="n"/>
      <c r="B102" s="40" t="n"/>
    </row>
    <row r="103">
      <c r="A103" s="39" t="n"/>
      <c r="B103" s="40" t="n"/>
    </row>
    <row r="104">
      <c r="A104" s="39" t="n"/>
      <c r="B104" s="40" t="n"/>
    </row>
    <row r="105">
      <c r="A105" s="39" t="n"/>
      <c r="B105" s="40" t="n"/>
    </row>
    <row r="106">
      <c r="A106" s="39" t="n"/>
      <c r="B106" s="40" t="n"/>
    </row>
    <row r="107">
      <c r="A107" s="39" t="n"/>
      <c r="B107" s="40" t="n"/>
    </row>
    <row r="108">
      <c r="A108" s="39" t="n"/>
      <c r="B108" s="40" t="n"/>
    </row>
    <row r="109">
      <c r="A109" s="39" t="n"/>
      <c r="B109" s="40" t="n"/>
    </row>
    <row r="110">
      <c r="A110" s="39" t="n"/>
      <c r="B110" s="40" t="n"/>
    </row>
    <row r="111">
      <c r="A111" s="39" t="n"/>
      <c r="B111" s="40" t="n"/>
    </row>
    <row r="112">
      <c r="A112" s="39" t="n"/>
      <c r="B112" s="40" t="n"/>
    </row>
    <row r="113">
      <c r="A113" s="39" t="n"/>
      <c r="B113" s="40" t="n"/>
    </row>
    <row r="114">
      <c r="A114" s="39" t="n"/>
      <c r="B114" s="40" t="n"/>
    </row>
    <row r="115">
      <c r="A115" s="39" t="n"/>
      <c r="B115" s="40" t="n"/>
    </row>
    <row r="116">
      <c r="A116" s="39" t="n"/>
      <c r="B116" s="40" t="n"/>
    </row>
    <row r="117">
      <c r="A117" s="39" t="n"/>
      <c r="B117" s="40" t="n"/>
    </row>
    <row r="118">
      <c r="A118" s="39" t="n"/>
      <c r="B118" s="40" t="n"/>
    </row>
    <row r="119">
      <c r="A119" s="39" t="n"/>
      <c r="B119" s="40" t="n"/>
    </row>
    <row r="120">
      <c r="A120" s="39" t="n"/>
      <c r="B120" s="40" t="n"/>
    </row>
    <row r="121">
      <c r="A121" s="39" t="n"/>
      <c r="B121" s="40" t="n"/>
    </row>
    <row r="122">
      <c r="A122" s="39" t="n"/>
      <c r="B122" s="40" t="n"/>
    </row>
    <row r="123">
      <c r="A123" s="39" t="n"/>
      <c r="B123" s="40" t="n"/>
    </row>
    <row r="124">
      <c r="A124" s="39" t="n"/>
      <c r="B124" s="40" t="n"/>
    </row>
    <row r="125">
      <c r="A125" s="39" t="n"/>
      <c r="B125" s="40" t="n"/>
    </row>
    <row r="126">
      <c r="A126" s="39" t="n"/>
      <c r="B126" s="40" t="n"/>
    </row>
    <row r="127">
      <c r="A127" s="39" t="n"/>
      <c r="B127" s="40" t="n"/>
    </row>
    <row r="128">
      <c r="A128" s="39" t="n"/>
      <c r="B128" s="40" t="n"/>
    </row>
    <row r="129">
      <c r="A129" s="39" t="n"/>
      <c r="B129" s="40" t="n"/>
    </row>
    <row r="130">
      <c r="A130" s="39" t="n"/>
      <c r="B130" s="40" t="n"/>
    </row>
    <row r="131">
      <c r="A131" s="39" t="n"/>
      <c r="B131" s="40" t="n"/>
    </row>
    <row r="132">
      <c r="A132" s="39" t="n"/>
      <c r="B132" s="40" t="n"/>
    </row>
    <row r="133">
      <c r="A133" s="39" t="n"/>
      <c r="B133" s="40" t="n"/>
    </row>
    <row r="134">
      <c r="A134" s="39" t="n"/>
      <c r="B134" s="40" t="n"/>
    </row>
    <row r="135">
      <c r="A135" s="39" t="n"/>
      <c r="B135" s="40" t="n"/>
    </row>
    <row r="136">
      <c r="A136" s="39" t="n"/>
      <c r="B136" s="40" t="n"/>
    </row>
    <row r="137">
      <c r="A137" s="39" t="n"/>
      <c r="B137" s="40" t="n"/>
    </row>
    <row r="138">
      <c r="A138" s="39" t="n"/>
      <c r="B138" s="40" t="n"/>
    </row>
    <row r="139">
      <c r="A139" s="39" t="n"/>
      <c r="B139" s="40" t="n"/>
    </row>
    <row r="140">
      <c r="A140" s="39" t="n"/>
      <c r="B140" s="40" t="n"/>
    </row>
    <row r="141">
      <c r="A141" s="39" t="n"/>
      <c r="B141" s="40" t="n"/>
    </row>
    <row r="142">
      <c r="A142" s="39" t="n"/>
      <c r="B142" s="40" t="n"/>
    </row>
    <row r="143">
      <c r="A143" s="39" t="n"/>
      <c r="B143" s="40" t="n"/>
    </row>
    <row r="144">
      <c r="A144" s="39" t="n"/>
      <c r="B144" s="40" t="n"/>
    </row>
    <row r="145">
      <c r="A145" s="39" t="n"/>
      <c r="B145" s="40" t="n"/>
    </row>
    <row r="146">
      <c r="A146" s="39" t="n"/>
      <c r="B146" s="40" t="n"/>
    </row>
    <row r="147">
      <c r="A147" s="39" t="n"/>
      <c r="B147" s="40" t="n"/>
    </row>
    <row r="148">
      <c r="A148" s="39" t="n"/>
      <c r="B148" s="40" t="n"/>
    </row>
    <row r="149">
      <c r="A149" s="39" t="n"/>
      <c r="B149" s="40" t="n"/>
    </row>
    <row r="150">
      <c r="A150" s="39" t="n"/>
      <c r="B150" s="40" t="n"/>
    </row>
    <row r="151">
      <c r="A151" s="39" t="n"/>
      <c r="B151" s="40" t="n"/>
    </row>
    <row r="152">
      <c r="A152" s="39" t="n"/>
      <c r="B152" s="40" t="n"/>
    </row>
    <row r="153">
      <c r="A153" s="39" t="n"/>
      <c r="B153" s="40" t="n"/>
    </row>
    <row r="154">
      <c r="A154" s="39" t="n"/>
      <c r="B154" s="40" t="n"/>
    </row>
    <row r="155">
      <c r="A155" s="39" t="n"/>
      <c r="B155" s="40" t="n"/>
    </row>
    <row r="156">
      <c r="A156" s="39" t="n"/>
      <c r="B156" s="40" t="n"/>
    </row>
    <row r="157">
      <c r="A157" s="39" t="n"/>
      <c r="B157" s="40" t="n"/>
    </row>
    <row r="158">
      <c r="A158" s="39" t="n"/>
      <c r="B158" s="40" t="n"/>
    </row>
    <row r="159">
      <c r="A159" s="39" t="n"/>
      <c r="B159" s="40" t="n"/>
    </row>
    <row r="160">
      <c r="A160" s="39" t="n"/>
      <c r="B160" s="40" t="n"/>
    </row>
    <row r="161">
      <c r="A161" s="39" t="n"/>
      <c r="B161" s="40" t="n"/>
    </row>
    <row r="162">
      <c r="A162" s="39" t="n"/>
      <c r="B162" s="40" t="n"/>
    </row>
    <row r="163">
      <c r="A163" s="39" t="n"/>
      <c r="B163" s="40" t="n"/>
    </row>
    <row r="164">
      <c r="A164" s="39" t="n"/>
      <c r="B164" s="40" t="n"/>
    </row>
    <row r="165">
      <c r="A165" s="39" t="n"/>
      <c r="B165" s="40" t="n"/>
    </row>
    <row r="166">
      <c r="A166" s="39" t="n"/>
      <c r="B166" s="40" t="n"/>
    </row>
    <row r="167">
      <c r="A167" s="39" t="n"/>
      <c r="B167" s="40" t="n"/>
    </row>
    <row r="168">
      <c r="A168" s="39" t="n"/>
      <c r="B168" s="40" t="n"/>
    </row>
    <row r="169">
      <c r="A169" s="39" t="n"/>
      <c r="B169" s="40" t="n"/>
    </row>
    <row r="170">
      <c r="A170" s="39" t="n"/>
      <c r="B170" s="40" t="n"/>
    </row>
    <row r="171">
      <c r="A171" s="39" t="n"/>
      <c r="B171" s="40" t="n"/>
    </row>
    <row r="172">
      <c r="A172" s="39" t="n"/>
      <c r="B172" s="40" t="n"/>
    </row>
    <row r="173">
      <c r="A173" s="39" t="n"/>
      <c r="B173" s="40" t="n"/>
    </row>
    <row r="174">
      <c r="A174" s="39" t="n"/>
      <c r="B174" s="40" t="n"/>
    </row>
    <row r="175">
      <c r="A175" s="39" t="n"/>
      <c r="B175" s="40" t="n"/>
    </row>
    <row r="176">
      <c r="A176" s="39" t="n"/>
      <c r="B176" s="40" t="n"/>
    </row>
    <row r="177">
      <c r="A177" s="39" t="n"/>
      <c r="B177" s="40" t="n"/>
    </row>
    <row r="178">
      <c r="A178" s="39" t="n"/>
      <c r="B178" s="40" t="n"/>
    </row>
    <row r="179">
      <c r="A179" s="39" t="n"/>
      <c r="B179" s="40" t="n"/>
    </row>
    <row r="180">
      <c r="A180" s="39" t="n"/>
      <c r="B180" s="40" t="n"/>
    </row>
    <row r="181">
      <c r="A181" s="39" t="n"/>
      <c r="B181" s="40" t="n"/>
    </row>
    <row r="182">
      <c r="A182" s="39" t="n"/>
      <c r="B182" s="40" t="n"/>
    </row>
    <row r="183">
      <c r="A183" s="39" t="n"/>
      <c r="B183" s="40" t="n"/>
    </row>
    <row r="184">
      <c r="A184" s="39" t="n"/>
      <c r="B184" s="40" t="n"/>
    </row>
    <row r="185">
      <c r="A185" s="39" t="n"/>
      <c r="B185" s="40" t="n"/>
    </row>
    <row r="186">
      <c r="A186" s="39" t="n"/>
      <c r="B186" s="40" t="n"/>
    </row>
    <row r="187">
      <c r="A187" s="39" t="n"/>
      <c r="B187" s="40" t="n"/>
    </row>
    <row r="188">
      <c r="A188" s="39" t="n"/>
      <c r="B188" s="40" t="n"/>
    </row>
    <row r="189">
      <c r="A189" s="39" t="n"/>
      <c r="B189" s="40" t="n"/>
    </row>
    <row r="190">
      <c r="A190" s="39" t="n"/>
      <c r="B190" s="40" t="n"/>
    </row>
    <row r="191">
      <c r="A191" s="39" t="n"/>
      <c r="B191" s="40" t="n"/>
    </row>
    <row r="192">
      <c r="A192" s="39" t="n"/>
      <c r="B192" s="40" t="n"/>
    </row>
    <row r="193">
      <c r="A193" s="39" t="n"/>
      <c r="B193" s="40" t="n"/>
    </row>
    <row r="194">
      <c r="A194" s="39" t="n"/>
      <c r="B194" s="40" t="n"/>
    </row>
    <row r="195">
      <c r="A195" s="39" t="n"/>
      <c r="B195" s="40" t="n"/>
    </row>
    <row r="196">
      <c r="A196" s="39" t="n"/>
      <c r="B196" s="40" t="n"/>
    </row>
    <row r="197">
      <c r="A197" s="39" t="n"/>
      <c r="B197" s="40" t="n"/>
    </row>
    <row r="198">
      <c r="A198" s="39" t="n"/>
      <c r="B198" s="40" t="n"/>
    </row>
    <row r="199">
      <c r="A199" s="39" t="n"/>
      <c r="B199" s="40" t="n"/>
    </row>
    <row r="200">
      <c r="A200" s="39" t="n"/>
      <c r="B200" s="40" t="n"/>
    </row>
    <row r="201">
      <c r="A201" s="39" t="n"/>
      <c r="B201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2026-06-20T13:55:53Z</dcterms:created>
  <dcterms:modified xmlns:dcterms="http://purl.org/dc/terms/" xmlns:xsi="http://www.w3.org/2001/XMLSchema-instance" xsi:type="dcterms:W3CDTF">2026-07-12T12:36:27Z</dcterms:modified>
  <cp:revision>1</cp:revision>
</cp:coreProperties>
</file>