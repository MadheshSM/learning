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lf-Assessment Checklist" sheetId="3" state="visible" r:id="rId3"/>
    <sheet xmlns:r="http://schemas.openxmlformats.org/officeDocument/2006/relationships" name="Tim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color rgb="FF1F3864"/>
      <sz val="14"/>
    </font>
    <font>
      <i val="1"/>
      <color rgb="FF595959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9" fontId="4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52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>
      <c r="A1" s="1" t="inlineStr">
        <is>
          <t>Phase</t>
        </is>
      </c>
      <c r="B1" s="1" t="inlineStr">
        <is>
          <t>#</t>
        </is>
      </c>
      <c r="C1" s="1" t="inlineStr">
        <is>
          <t>Concept</t>
        </is>
      </c>
      <c r="D1" s="1" t="inlineStr">
        <is>
          <t>Status</t>
        </is>
      </c>
      <c r="E1" s="1" t="inlineStr">
        <is>
          <t>Practice Exercise Done</t>
        </is>
      </c>
      <c r="F1" s="1" t="inlineStr">
        <is>
          <t>Self-Check Passed</t>
        </is>
      </c>
      <c r="G1" s="1" t="inlineStr">
        <is>
          <t>Date Started</t>
        </is>
      </c>
      <c r="H1" s="1" t="inlineStr">
        <is>
          <t>Date Completed</t>
        </is>
      </c>
      <c r="I1" s="1" t="inlineStr">
        <is>
          <t>Notes</t>
        </is>
      </c>
    </row>
    <row r="2">
      <c r="A2" s="2" t="inlineStr">
        <is>
          <t>Phase 0: Setup &amp; TypeScript Essentials</t>
        </is>
      </c>
      <c r="B2" t="inlineStr">
        <is>
          <t>0.1</t>
        </is>
      </c>
      <c r="C2" s="3" t="inlineStr">
        <is>
          <t>Angular CLI, workspace, ng serve</t>
        </is>
      </c>
      <c r="D2" t="inlineStr">
        <is>
          <t>Not Started</t>
        </is>
      </c>
      <c r="E2" t="inlineStr">
        <is>
          <t>No</t>
        </is>
      </c>
      <c r="F2" t="inlineStr">
        <is>
          <t>No</t>
        </is>
      </c>
      <c r="I2" s="3" t="n"/>
    </row>
    <row r="3">
      <c r="A3" s="2" t="inlineStr">
        <is>
          <t>Phase 0: Setup &amp; TypeScript Essentials</t>
        </is>
      </c>
      <c r="B3" t="inlineStr">
        <is>
          <t>0.2</t>
        </is>
      </c>
      <c r="C3" s="3" t="inlineStr">
        <is>
          <t>TypeScript for Angular (strict, generics, unknown vs any) + decorators</t>
        </is>
      </c>
      <c r="D3" t="inlineStr">
        <is>
          <t>Not Started</t>
        </is>
      </c>
      <c r="E3" t="inlineStr">
        <is>
          <t>No</t>
        </is>
      </c>
      <c r="F3" t="inlineStr">
        <is>
          <t>No</t>
        </is>
      </c>
      <c r="I3" s="3" t="n"/>
    </row>
    <row r="4">
      <c r="A4" s="2" t="inlineStr">
        <is>
          <t>Phase 1: Angular Core</t>
        </is>
      </c>
      <c r="B4" t="inlineStr">
        <is>
          <t>1.1</t>
        </is>
      </c>
      <c r="C4" s="3" t="inlineStr">
        <is>
          <t>Standalone components (no NgModules)</t>
        </is>
      </c>
      <c r="D4" t="inlineStr">
        <is>
          <t>Not Started</t>
        </is>
      </c>
      <c r="E4" t="inlineStr">
        <is>
          <t>No</t>
        </is>
      </c>
      <c r="F4" t="inlineStr">
        <is>
          <t>No</t>
        </is>
      </c>
      <c r="I4" s="3" t="n"/>
    </row>
    <row r="5">
      <c r="A5" s="2" t="inlineStr">
        <is>
          <t>Phase 1: Angular Core</t>
        </is>
      </c>
      <c r="B5" t="inlineStr">
        <is>
          <t>1.2</t>
        </is>
      </c>
      <c r="C5" s="3" t="inlineStr">
        <is>
          <t>Templates &amp; binding (interpolation, property, event, two-way)</t>
        </is>
      </c>
      <c r="D5" t="inlineStr">
        <is>
          <t>Not Started</t>
        </is>
      </c>
      <c r="E5" t="inlineStr">
        <is>
          <t>No</t>
        </is>
      </c>
      <c r="F5" t="inlineStr">
        <is>
          <t>No</t>
        </is>
      </c>
      <c r="I5" s="3" t="n"/>
    </row>
    <row r="6">
      <c r="A6" s="2" t="inlineStr">
        <is>
          <t>Phase 1: Angular Core</t>
        </is>
      </c>
      <c r="B6" t="inlineStr">
        <is>
          <t>1.3</t>
        </is>
      </c>
      <c r="C6" s="3" t="inlineStr">
        <is>
          <t>Built-in control flow (@if/@for/@switch)</t>
        </is>
      </c>
      <c r="D6" t="inlineStr">
        <is>
          <t>Not Started</t>
        </is>
      </c>
      <c r="E6" t="inlineStr">
        <is>
          <t>No</t>
        </is>
      </c>
      <c r="F6" t="inlineStr">
        <is>
          <t>No</t>
        </is>
      </c>
      <c r="I6" s="3" t="n"/>
    </row>
    <row r="7">
      <c r="A7" s="2" t="inlineStr">
        <is>
          <t>Phase 1: Angular Core</t>
        </is>
      </c>
      <c r="B7" t="inlineStr">
        <is>
          <t>1.4</t>
        </is>
      </c>
      <c r="C7" s="3" t="inlineStr">
        <is>
          <t>Dependency injection with inject()</t>
        </is>
      </c>
      <c r="D7" t="inlineStr">
        <is>
          <t>Not Started</t>
        </is>
      </c>
      <c r="E7" t="inlineStr">
        <is>
          <t>No</t>
        </is>
      </c>
      <c r="F7" t="inlineStr">
        <is>
          <t>No</t>
        </is>
      </c>
      <c r="I7" s="3" t="n"/>
    </row>
    <row r="8">
      <c r="A8" s="2" t="inlineStr">
        <is>
          <t>Phase 1: Angular Core</t>
        </is>
      </c>
      <c r="B8" t="inlineStr">
        <is>
          <t>1.5</t>
        </is>
      </c>
      <c r="C8" s="3" t="inlineStr">
        <is>
          <t>Lifecycle &amp; DestroyRef (field initializer)</t>
        </is>
      </c>
      <c r="D8" t="inlineStr">
        <is>
          <t>Not Started</t>
        </is>
      </c>
      <c r="E8" t="inlineStr">
        <is>
          <t>No</t>
        </is>
      </c>
      <c r="F8" t="inlineStr">
        <is>
          <t>No</t>
        </is>
      </c>
      <c r="I8" s="3" t="n"/>
    </row>
    <row r="9">
      <c r="A9" s="2" t="inlineStr">
        <is>
          <t>Phase 1: Angular Core</t>
        </is>
      </c>
      <c r="B9" t="inlineStr">
        <is>
          <t>1.6</t>
        </is>
      </c>
      <c r="C9" s="3" t="inlineStr">
        <is>
          <t>Pipes &amp; directives (built-in &amp; custom)</t>
        </is>
      </c>
      <c r="D9" t="inlineStr">
        <is>
          <t>Not Started</t>
        </is>
      </c>
      <c r="E9" t="inlineStr">
        <is>
          <t>No</t>
        </is>
      </c>
      <c r="F9" t="inlineStr">
        <is>
          <t>No</t>
        </is>
      </c>
      <c r="I9" s="3" t="n"/>
    </row>
    <row r="10">
      <c r="A10" s="2" t="inlineStr">
        <is>
          <t>Phase 2: Signals (Angular 19)</t>
        </is>
      </c>
      <c r="B10" t="inlineStr">
        <is>
          <t>2.1</t>
        </is>
      </c>
      <c r="C10" s="3" t="inlineStr">
        <is>
          <t>signal() for local state (.set/.update)</t>
        </is>
      </c>
      <c r="D10" t="inlineStr">
        <is>
          <t>Not Started</t>
        </is>
      </c>
      <c r="E10" t="inlineStr">
        <is>
          <t>No</t>
        </is>
      </c>
      <c r="F10" t="inlineStr">
        <is>
          <t>No</t>
        </is>
      </c>
      <c r="I10" s="3" t="n"/>
    </row>
    <row r="11">
      <c r="A11" s="2" t="inlineStr">
        <is>
          <t>Phase 2: Signals (Angular 19)</t>
        </is>
      </c>
      <c r="B11" t="inlineStr">
        <is>
          <t>2.2</t>
        </is>
      </c>
      <c r="C11" s="3" t="inlineStr">
        <is>
          <t>computed() for derived state (never get getters)</t>
        </is>
      </c>
      <c r="D11" t="inlineStr">
        <is>
          <t>Not Started</t>
        </is>
      </c>
      <c r="E11" t="inlineStr">
        <is>
          <t>No</t>
        </is>
      </c>
      <c r="F11" t="inlineStr">
        <is>
          <t>No</t>
        </is>
      </c>
      <c r="I11" s="3" t="n"/>
    </row>
    <row r="12">
      <c r="A12" s="2" t="inlineStr">
        <is>
          <t>Phase 2: Signals (Angular 19)</t>
        </is>
      </c>
      <c r="B12" t="inlineStr">
        <is>
          <t>2.3</t>
        </is>
      </c>
      <c r="C12" s="3" t="inlineStr">
        <is>
          <t>input() / input.required() (replaces @Input)</t>
        </is>
      </c>
      <c r="D12" t="inlineStr">
        <is>
          <t>Not Started</t>
        </is>
      </c>
      <c r="E12" t="inlineStr">
        <is>
          <t>No</t>
        </is>
      </c>
      <c r="F12" t="inlineStr">
        <is>
          <t>No</t>
        </is>
      </c>
      <c r="I12" s="3" t="n"/>
    </row>
    <row r="13">
      <c r="A13" s="2" t="inlineStr">
        <is>
          <t>Phase 2: Signals (Angular 19)</t>
        </is>
      </c>
      <c r="B13" t="inlineStr">
        <is>
          <t>2.4</t>
        </is>
      </c>
      <c r="C13" s="3" t="inlineStr">
        <is>
          <t>output() (replaces @Output/EventEmitter)</t>
        </is>
      </c>
      <c r="D13" t="inlineStr">
        <is>
          <t>Not Started</t>
        </is>
      </c>
      <c r="E13" t="inlineStr">
        <is>
          <t>No</t>
        </is>
      </c>
      <c r="F13" t="inlineStr">
        <is>
          <t>No</t>
        </is>
      </c>
      <c r="I13" s="3" t="n"/>
    </row>
    <row r="14">
      <c r="A14" s="2" t="inlineStr">
        <is>
          <t>Phase 2: Signals (Angular 19)</t>
        </is>
      </c>
      <c r="B14" t="inlineStr">
        <is>
          <t>2.5</t>
        </is>
      </c>
      <c r="C14" s="3" t="inlineStr">
        <is>
          <t>viewChild()/viewChildren() &amp; effect()</t>
        </is>
      </c>
      <c r="D14" t="inlineStr">
        <is>
          <t>Not Started</t>
        </is>
      </c>
      <c r="E14" t="inlineStr">
        <is>
          <t>No</t>
        </is>
      </c>
      <c r="F14" t="inlineStr">
        <is>
          <t>No</t>
        </is>
      </c>
      <c r="I14" s="3" t="n"/>
    </row>
    <row r="15">
      <c r="A15" s="2" t="inlineStr">
        <is>
          <t>Phase 3: RxJS &amp; Data Layer</t>
        </is>
      </c>
      <c r="B15" t="inlineStr">
        <is>
          <t>3.1</t>
        </is>
      </c>
      <c r="C15" s="3" t="inlineStr">
        <is>
          <t>Observables &amp; operators (map/filter/switchMap)</t>
        </is>
      </c>
      <c r="D15" t="inlineStr">
        <is>
          <t>Not Started</t>
        </is>
      </c>
      <c r="E15" t="inlineStr">
        <is>
          <t>No</t>
        </is>
      </c>
      <c r="F15" t="inlineStr">
        <is>
          <t>No</t>
        </is>
      </c>
      <c r="I15" s="3" t="n"/>
    </row>
    <row r="16">
      <c r="A16" s="2" t="inlineStr">
        <is>
          <t>Phase 3: RxJS &amp; Data Layer</t>
        </is>
      </c>
      <c r="B16" t="inlineStr">
        <is>
          <t>3.2</t>
        </is>
      </c>
      <c r="C16" s="3" t="inlineStr">
        <is>
          <t>HttpClient &amp; typed services</t>
        </is>
      </c>
      <c r="D16" t="inlineStr">
        <is>
          <t>Not Started</t>
        </is>
      </c>
      <c r="E16" t="inlineStr">
        <is>
          <t>No</t>
        </is>
      </c>
      <c r="F16" t="inlineStr">
        <is>
          <t>No</t>
        </is>
      </c>
      <c r="I16" s="3" t="n"/>
    </row>
    <row r="17">
      <c r="A17" s="2" t="inlineStr">
        <is>
          <t>Phase 3: RxJS &amp; Data Layer</t>
        </is>
      </c>
      <c r="B17" t="inlineStr">
        <is>
          <t>3.3</t>
        </is>
      </c>
      <c r="C17" s="3" t="inlineStr">
        <is>
          <t>catchError(handleHttpError) that re-throws</t>
        </is>
      </c>
      <c r="D17" t="inlineStr">
        <is>
          <t>Not Started</t>
        </is>
      </c>
      <c r="E17" t="inlineStr">
        <is>
          <t>No</t>
        </is>
      </c>
      <c r="F17" t="inlineStr">
        <is>
          <t>No</t>
        </is>
      </c>
      <c r="I17" s="3" t="n"/>
    </row>
    <row r="18">
      <c r="A18" s="2" t="inlineStr">
        <is>
          <t>Phase 3: RxJS &amp; Data Layer</t>
        </is>
      </c>
      <c r="B18" t="inlineStr">
        <is>
          <t>3.4</t>
        </is>
      </c>
      <c r="C18" s="3" t="inlineStr">
        <is>
          <t>Subscription teardown (takeUntilDestroyed)</t>
        </is>
      </c>
      <c r="D18" t="inlineStr">
        <is>
          <t>Not Started</t>
        </is>
      </c>
      <c r="E18" t="inlineStr">
        <is>
          <t>No</t>
        </is>
      </c>
      <c r="F18" t="inlineStr">
        <is>
          <t>No</t>
        </is>
      </c>
      <c r="I18" s="3" t="n"/>
    </row>
    <row r="19">
      <c r="A19" s="2" t="inlineStr">
        <is>
          <t>Phase 3: RxJS &amp; Data Layer</t>
        </is>
      </c>
      <c r="B19" t="inlineStr">
        <is>
          <t>3.5</t>
        </is>
      </c>
      <c r="C19" s="3" t="inlineStr">
        <is>
          <t>Component loading/error/empty states</t>
        </is>
      </c>
      <c r="D19" t="inlineStr">
        <is>
          <t>Not Started</t>
        </is>
      </c>
      <c r="E19" t="inlineStr">
        <is>
          <t>No</t>
        </is>
      </c>
      <c r="F19" t="inlineStr">
        <is>
          <t>No</t>
        </is>
      </c>
      <c r="I19" s="3" t="n"/>
    </row>
    <row r="20">
      <c r="A20" s="2" t="inlineStr">
        <is>
          <t>Phase 4: Forms &amp; Routing</t>
        </is>
      </c>
      <c r="B20" t="inlineStr">
        <is>
          <t>4.1</t>
        </is>
      </c>
      <c r="C20" s="3" t="inlineStr">
        <is>
          <t>Reactive forms &amp; validation</t>
        </is>
      </c>
      <c r="D20" t="inlineStr">
        <is>
          <t>Not Started</t>
        </is>
      </c>
      <c r="E20" t="inlineStr">
        <is>
          <t>No</t>
        </is>
      </c>
      <c r="F20" t="inlineStr">
        <is>
          <t>No</t>
        </is>
      </c>
      <c r="I20" s="3" t="n"/>
    </row>
    <row r="21">
      <c r="A21" s="2" t="inlineStr">
        <is>
          <t>Phase 4: Forms &amp; Routing</t>
        </is>
      </c>
      <c r="B21" t="inlineStr">
        <is>
          <t>4.2</t>
        </is>
      </c>
      <c r="C21" s="3" t="inlineStr">
        <is>
          <t>Router, guards &amp; resolvers</t>
        </is>
      </c>
      <c r="D21" t="inlineStr">
        <is>
          <t>Not Started</t>
        </is>
      </c>
      <c r="E21" t="inlineStr">
        <is>
          <t>No</t>
        </is>
      </c>
      <c r="F21" t="inlineStr">
        <is>
          <t>No</t>
        </is>
      </c>
      <c r="I21" s="3" t="n"/>
    </row>
    <row r="22">
      <c r="A22" s="2" t="inlineStr">
        <is>
          <t>Phase 5: Styling &amp; i18n</t>
        </is>
      </c>
      <c r="B22" t="inlineStr">
        <is>
          <t>5.1</t>
        </is>
      </c>
      <c r="C22" s="3" t="inlineStr">
        <is>
          <t>SCSS theming (design tokens, px-&gt;rem, no hex)</t>
        </is>
      </c>
      <c r="D22" t="inlineStr">
        <is>
          <t>Not Started</t>
        </is>
      </c>
      <c r="E22" t="inlineStr">
        <is>
          <t>No</t>
        </is>
      </c>
      <c r="F22" t="inlineStr">
        <is>
          <t>No</t>
        </is>
      </c>
      <c r="I22" s="3" t="n"/>
    </row>
    <row r="23">
      <c r="A23" s="2" t="inlineStr">
        <is>
          <t>Phase 5: Styling &amp; i18n</t>
        </is>
      </c>
      <c r="B23" t="inlineStr">
        <is>
          <t>5.2</t>
        </is>
      </c>
      <c r="C23" s="3" t="inlineStr">
        <is>
          <t>!important / ::ng-deep discipline &amp; file size</t>
        </is>
      </c>
      <c r="D23" t="inlineStr">
        <is>
          <t>Not Started</t>
        </is>
      </c>
      <c r="E23" t="inlineStr">
        <is>
          <t>No</t>
        </is>
      </c>
      <c r="F23" t="inlineStr">
        <is>
          <t>No</t>
        </is>
      </c>
      <c r="I23" s="3" t="n"/>
    </row>
    <row r="24">
      <c r="A24" s="2" t="inlineStr">
        <is>
          <t>Phase 5: Styling &amp; i18n</t>
        </is>
      </c>
      <c r="B24" t="inlineStr">
        <is>
          <t>5.3</t>
        </is>
      </c>
      <c r="C24" s="3" t="inlineStr">
        <is>
          <t>i18n with @ngx-translate (| translate)</t>
        </is>
      </c>
      <c r="D24" t="inlineStr">
        <is>
          <t>Not Started</t>
        </is>
      </c>
      <c r="E24" t="inlineStr">
        <is>
          <t>No</t>
        </is>
      </c>
      <c r="F24" t="inlineStr">
        <is>
          <t>No</t>
        </is>
      </c>
      <c r="I24" s="3" t="n"/>
    </row>
    <row r="25">
      <c r="A25" s="2" t="inlineStr">
        <is>
          <t>Phase 5: Styling &amp; i18n</t>
        </is>
      </c>
      <c r="B25" t="inlineStr">
        <is>
          <t>5.4</t>
        </is>
      </c>
      <c r="C25" s="3" t="inlineStr">
        <is>
          <t>RTL support (logical properties)</t>
        </is>
      </c>
      <c r="D25" t="inlineStr">
        <is>
          <t>Not Started</t>
        </is>
      </c>
      <c r="E25" t="inlineStr">
        <is>
          <t>No</t>
        </is>
      </c>
      <c r="F25" t="inlineStr">
        <is>
          <t>No</t>
        </is>
      </c>
      <c r="I25" s="3" t="n"/>
    </row>
    <row r="26">
      <c r="A26" s="2" t="inlineStr">
        <is>
          <t>Phase 6: Conventions &amp; Refactor</t>
        </is>
      </c>
      <c r="B26" t="inlineStr">
        <is>
          <t>6.1</t>
        </is>
      </c>
      <c r="C26" s="3" t="inlineStr">
        <is>
          <t>Read the refactor/stabilize/check-module SKILLs</t>
        </is>
      </c>
      <c r="D26" t="inlineStr">
        <is>
          <t>Not Started</t>
        </is>
      </c>
      <c r="E26" t="inlineStr">
        <is>
          <t>No</t>
        </is>
      </c>
      <c r="F26" t="inlineStr">
        <is>
          <t>No</t>
        </is>
      </c>
      <c r="I26" s="3" t="n"/>
    </row>
    <row r="27">
      <c r="A27" s="2" t="inlineStr">
        <is>
          <t>Phase 6: Conventions &amp; Refactor</t>
        </is>
      </c>
      <c r="B27" t="inlineStr">
        <is>
          <t>6.2</t>
        </is>
      </c>
      <c r="C27" s="3" t="inlineStr">
        <is>
          <t>Interface extraction &amp; path aliases</t>
        </is>
      </c>
      <c r="D27" t="inlineStr">
        <is>
          <t>Not Started</t>
        </is>
      </c>
      <c r="E27" t="inlineStr">
        <is>
          <t>No</t>
        </is>
      </c>
      <c r="F27" t="inlineStr">
        <is>
          <t>No</t>
        </is>
      </c>
      <c r="I27" s="3" t="n"/>
    </row>
    <row r="28">
      <c r="A28" s="2" t="inlineStr">
        <is>
          <t>Phase 6: Conventions &amp; Refactor</t>
        </is>
      </c>
      <c r="B28" t="inlineStr">
        <is>
          <t>6.3</t>
        </is>
      </c>
      <c r="C28" s="3" t="inlineStr">
        <is>
          <t>Magic strings -&gt; constants/enums (FormMode, etc.)</t>
        </is>
      </c>
      <c r="D28" t="inlineStr">
        <is>
          <t>Not Started</t>
        </is>
      </c>
      <c r="E28" t="inlineStr">
        <is>
          <t>No</t>
        </is>
      </c>
      <c r="F28" t="inlineStr">
        <is>
          <t>No</t>
        </is>
      </c>
      <c r="I28" s="3" t="n"/>
    </row>
    <row r="29">
      <c r="A29" s="2" t="inlineStr">
        <is>
          <t>Phase 6: Conventions &amp; Refactor</t>
        </is>
      </c>
      <c r="B29" t="inlineStr">
        <is>
          <t>6.4</t>
        </is>
      </c>
      <c r="C29" s="3" t="inlineStr">
        <is>
          <t>Component reuse &amp; shared components</t>
        </is>
      </c>
      <c r="D29" t="inlineStr">
        <is>
          <t>Not Started</t>
        </is>
      </c>
      <c r="E29" t="inlineStr">
        <is>
          <t>No</t>
        </is>
      </c>
      <c r="F29" t="inlineStr">
        <is>
          <t>No</t>
        </is>
      </c>
      <c r="I29" s="3" t="n"/>
    </row>
    <row r="30">
      <c r="A30" s="2" t="inlineStr">
        <is>
          <t>Phase 6: Conventions &amp; Refactor</t>
        </is>
      </c>
      <c r="B30" t="inlineStr">
        <is>
          <t>6.5</t>
        </is>
      </c>
      <c r="C30" s="3" t="inlineStr">
        <is>
          <t>File-size limits &amp; decomposition</t>
        </is>
      </c>
      <c r="D30" t="inlineStr">
        <is>
          <t>Not Started</t>
        </is>
      </c>
      <c r="E30" t="inlineStr">
        <is>
          <t>No</t>
        </is>
      </c>
      <c r="F30" t="inlineStr">
        <is>
          <t>No</t>
        </is>
      </c>
      <c r="I30" s="3" t="n"/>
    </row>
    <row r="31">
      <c r="A31" s="2" t="inlineStr">
        <is>
          <t>Phase 6: Conventions &amp; Refactor</t>
        </is>
      </c>
      <c r="B31" t="inlineStr">
        <is>
          <t>6.6</t>
        </is>
      </c>
      <c r="C31" s="3" t="inlineStr">
        <is>
          <t>Fix a 'bad' component by hand (the anti-patterns)</t>
        </is>
      </c>
      <c r="D31" t="inlineStr">
        <is>
          <t>Not Started</t>
        </is>
      </c>
      <c r="E31" t="inlineStr">
        <is>
          <t>No</t>
        </is>
      </c>
      <c r="F31" t="inlineStr">
        <is>
          <t>No</t>
        </is>
      </c>
      <c r="I31" s="3" t="n"/>
    </row>
    <row r="32">
      <c r="A32" s="2" t="inlineStr">
        <is>
          <t>Phase 7: Testing &amp; Quality</t>
        </is>
      </c>
      <c r="B32" t="inlineStr">
        <is>
          <t>7.1</t>
        </is>
      </c>
      <c r="C32" s="3" t="inlineStr">
        <is>
          <t>Jasmine/Karma service specs (HttpTestingController)</t>
        </is>
      </c>
      <c r="D32" t="inlineStr">
        <is>
          <t>Not Started</t>
        </is>
      </c>
      <c r="E32" t="inlineStr">
        <is>
          <t>No</t>
        </is>
      </c>
      <c r="F32" t="inlineStr">
        <is>
          <t>No</t>
        </is>
      </c>
      <c r="I32" s="3" t="n"/>
    </row>
    <row r="33">
      <c r="A33" s="2" t="inlineStr">
        <is>
          <t>Phase 7: Testing &amp; Quality</t>
        </is>
      </c>
      <c r="B33" t="inlineStr">
        <is>
          <t>7.2</t>
        </is>
      </c>
      <c r="C33" s="3" t="inlineStr">
        <is>
          <t>Component TestBed specs (setInput for signals)</t>
        </is>
      </c>
      <c r="D33" t="inlineStr">
        <is>
          <t>Not Started</t>
        </is>
      </c>
      <c r="E33" t="inlineStr">
        <is>
          <t>No</t>
        </is>
      </c>
      <c r="F33" t="inlineStr">
        <is>
          <t>No</t>
        </is>
      </c>
      <c r="I33" s="3" t="n"/>
    </row>
    <row r="34">
      <c r="A34" s="2" t="inlineStr">
        <is>
          <t>Phase 7: Testing &amp; Quality</t>
        </is>
      </c>
      <c r="B34" t="inlineStr">
        <is>
          <t>7.3</t>
        </is>
      </c>
      <c r="C34" s="3" t="inlineStr">
        <is>
          <t>The full gate (prettier/eslint/stylelint/typecheck/build/test)</t>
        </is>
      </c>
      <c r="D34" t="inlineStr">
        <is>
          <t>Not Started</t>
        </is>
      </c>
      <c r="E34" t="inlineStr">
        <is>
          <t>No</t>
        </is>
      </c>
      <c r="F34" t="inlineStr">
        <is>
          <t>No</t>
        </is>
      </c>
      <c r="I34" s="3" t="n"/>
    </row>
    <row r="35">
      <c r="A35" s="2" t="inlineStr">
        <is>
          <t>Capstone</t>
        </is>
      </c>
      <c r="B35" t="inlineStr">
        <is>
          <t>C</t>
        </is>
      </c>
      <c r="C35" s="3" t="inlineStr">
        <is>
          <t>Build &amp; stabilize a full Angular feature module</t>
        </is>
      </c>
      <c r="D35" t="inlineStr">
        <is>
          <t>Not Started</t>
        </is>
      </c>
      <c r="E35" t="inlineStr">
        <is>
          <t>No</t>
        </is>
      </c>
      <c r="F35" t="inlineStr">
        <is>
          <t>No</t>
        </is>
      </c>
      <c r="I35" s="3" t="n"/>
    </row>
  </sheetData>
  <dataValidations count="2">
    <dataValidation sqref="D2:D35" showDropDown="0" showInputMessage="0" showErrorMessage="0" allowBlank="0" type="list">
      <formula1>"Not Started,In Progress,Practiced,Done"</formula1>
    </dataValidation>
    <dataValidation sqref="E2:F3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12" customWidth="1" min="4" max="4"/>
    <col width="11" customWidth="1" min="5" max="5"/>
    <col width="9" customWidth="1" min="6" max="6"/>
    <col width="11" customWidth="1" min="7" max="7"/>
  </cols>
  <sheetData>
    <row r="1">
      <c r="A1" s="4" t="inlineStr">
        <is>
          <t>Angular 19 Learning - Progress Dashboard</t>
        </is>
      </c>
    </row>
    <row r="2">
      <c r="A2" s="5" t="inlineStr">
        <is>
          <t>Live counts pull from the Tracker sheet - update statuses there.</t>
        </is>
      </c>
    </row>
    <row r="4">
      <c r="A4" s="6" t="inlineStr">
        <is>
          <t>Overall Completion</t>
        </is>
      </c>
    </row>
    <row r="5">
      <c r="A5" t="inlineStr">
        <is>
          <t>Total Concepts</t>
        </is>
      </c>
      <c r="B5">
        <f>COUNTA(Tracker!C2:C35)</f>
        <v/>
      </c>
    </row>
    <row r="6">
      <c r="A6" t="inlineStr">
        <is>
          <t>Done</t>
        </is>
      </c>
      <c r="B6">
        <f>COUNTIF(Tracker!D2:D35,"Done")</f>
        <v/>
      </c>
    </row>
    <row r="7">
      <c r="A7" t="inlineStr">
        <is>
          <t>% Complete</t>
        </is>
      </c>
      <c r="B7" s="7">
        <f>IFERROR(B6/B5,0)</f>
        <v/>
      </c>
    </row>
    <row r="10">
      <c r="A10" s="1" t="inlineStr">
        <is>
          <t>Phase</t>
        </is>
      </c>
      <c r="B10" s="1" t="inlineStr">
        <is>
          <t>Total</t>
        </is>
      </c>
      <c r="C10" s="1" t="inlineStr">
        <is>
          <t>Not Started</t>
        </is>
      </c>
      <c r="D10" s="1" t="inlineStr">
        <is>
          <t>In Progress</t>
        </is>
      </c>
      <c r="E10" s="1" t="inlineStr">
        <is>
          <t>Practiced</t>
        </is>
      </c>
      <c r="F10" s="1" t="inlineStr">
        <is>
          <t>Done</t>
        </is>
      </c>
      <c r="G10" s="1" t="inlineStr">
        <is>
          <t>% Complete</t>
        </is>
      </c>
    </row>
    <row r="11">
      <c r="A11" t="inlineStr">
        <is>
          <t>Phase 0: Setup &amp; TypeScript Essentials</t>
        </is>
      </c>
      <c r="B11">
        <f>COUNTIF(Tracker!A2:A35,A11)</f>
        <v/>
      </c>
      <c r="C11">
        <f>COUNTIFS(Tracker!A2:A35,A11,Tracker!D2:D35,"Not Started")</f>
        <v/>
      </c>
      <c r="D11">
        <f>COUNTIFS(Tracker!A2:A35,A11,Tracker!D2:D35,"In Progress")</f>
        <v/>
      </c>
      <c r="E11">
        <f>COUNTIFS(Tracker!A2:A35,A11,Tracker!D2:D35,"Practiced")</f>
        <v/>
      </c>
      <c r="F11">
        <f>COUNTIFS(Tracker!A2:A35,A11,Tracker!D2:D35,"Done")</f>
        <v/>
      </c>
      <c r="G11" s="7">
        <f>IFERROR(F11/B11,0)</f>
        <v/>
      </c>
    </row>
    <row r="12">
      <c r="A12" t="inlineStr">
        <is>
          <t>Phase 1: Angular Core</t>
        </is>
      </c>
      <c r="B12">
        <f>COUNTIF(Tracker!A2:A35,A12)</f>
        <v/>
      </c>
      <c r="C12">
        <f>COUNTIFS(Tracker!A2:A35,A12,Tracker!D2:D35,"Not Started")</f>
        <v/>
      </c>
      <c r="D12">
        <f>COUNTIFS(Tracker!A2:A35,A12,Tracker!D2:D35,"In Progress")</f>
        <v/>
      </c>
      <c r="E12">
        <f>COUNTIFS(Tracker!A2:A35,A12,Tracker!D2:D35,"Practiced")</f>
        <v/>
      </c>
      <c r="F12">
        <f>COUNTIFS(Tracker!A2:A35,A12,Tracker!D2:D35,"Done")</f>
        <v/>
      </c>
      <c r="G12" s="7">
        <f>IFERROR(F12/B12,0)</f>
        <v/>
      </c>
    </row>
    <row r="13">
      <c r="A13" t="inlineStr">
        <is>
          <t>Phase 2: Signals (Angular 19)</t>
        </is>
      </c>
      <c r="B13">
        <f>COUNTIF(Tracker!A2:A35,A13)</f>
        <v/>
      </c>
      <c r="C13">
        <f>COUNTIFS(Tracker!A2:A35,A13,Tracker!D2:D35,"Not Started")</f>
        <v/>
      </c>
      <c r="D13">
        <f>COUNTIFS(Tracker!A2:A35,A13,Tracker!D2:D35,"In Progress")</f>
        <v/>
      </c>
      <c r="E13">
        <f>COUNTIFS(Tracker!A2:A35,A13,Tracker!D2:D35,"Practiced")</f>
        <v/>
      </c>
      <c r="F13">
        <f>COUNTIFS(Tracker!A2:A35,A13,Tracker!D2:D35,"Done")</f>
        <v/>
      </c>
      <c r="G13" s="7">
        <f>IFERROR(F13/B13,0)</f>
        <v/>
      </c>
    </row>
    <row r="14">
      <c r="A14" t="inlineStr">
        <is>
          <t>Phase 3: RxJS &amp; Data Layer</t>
        </is>
      </c>
      <c r="B14">
        <f>COUNTIF(Tracker!A2:A35,A14)</f>
        <v/>
      </c>
      <c r="C14">
        <f>COUNTIFS(Tracker!A2:A35,A14,Tracker!D2:D35,"Not Started")</f>
        <v/>
      </c>
      <c r="D14">
        <f>COUNTIFS(Tracker!A2:A35,A14,Tracker!D2:D35,"In Progress")</f>
        <v/>
      </c>
      <c r="E14">
        <f>COUNTIFS(Tracker!A2:A35,A14,Tracker!D2:D35,"Practiced")</f>
        <v/>
      </c>
      <c r="F14">
        <f>COUNTIFS(Tracker!A2:A35,A14,Tracker!D2:D35,"Done")</f>
        <v/>
      </c>
      <c r="G14" s="7">
        <f>IFERROR(F14/B14,0)</f>
        <v/>
      </c>
    </row>
    <row r="15">
      <c r="A15" t="inlineStr">
        <is>
          <t>Phase 4: Forms &amp; Routing</t>
        </is>
      </c>
      <c r="B15">
        <f>COUNTIF(Tracker!A2:A35,A15)</f>
        <v/>
      </c>
      <c r="C15">
        <f>COUNTIFS(Tracker!A2:A35,A15,Tracker!D2:D35,"Not Started")</f>
        <v/>
      </c>
      <c r="D15">
        <f>COUNTIFS(Tracker!A2:A35,A15,Tracker!D2:D35,"In Progress")</f>
        <v/>
      </c>
      <c r="E15">
        <f>COUNTIFS(Tracker!A2:A35,A15,Tracker!D2:D35,"Practiced")</f>
        <v/>
      </c>
      <c r="F15">
        <f>COUNTIFS(Tracker!A2:A35,A15,Tracker!D2:D35,"Done")</f>
        <v/>
      </c>
      <c r="G15" s="7">
        <f>IFERROR(F15/B15,0)</f>
        <v/>
      </c>
    </row>
    <row r="16">
      <c r="A16" t="inlineStr">
        <is>
          <t>Phase 5: Styling &amp; i18n</t>
        </is>
      </c>
      <c r="B16">
        <f>COUNTIF(Tracker!A2:A35,A16)</f>
        <v/>
      </c>
      <c r="C16">
        <f>COUNTIFS(Tracker!A2:A35,A16,Tracker!D2:D35,"Not Started")</f>
        <v/>
      </c>
      <c r="D16">
        <f>COUNTIFS(Tracker!A2:A35,A16,Tracker!D2:D35,"In Progress")</f>
        <v/>
      </c>
      <c r="E16">
        <f>COUNTIFS(Tracker!A2:A35,A16,Tracker!D2:D35,"Practiced")</f>
        <v/>
      </c>
      <c r="F16">
        <f>COUNTIFS(Tracker!A2:A35,A16,Tracker!D2:D35,"Done")</f>
        <v/>
      </c>
      <c r="G16" s="7">
        <f>IFERROR(F16/B16,0)</f>
        <v/>
      </c>
    </row>
    <row r="17">
      <c r="A17" t="inlineStr">
        <is>
          <t>Phase 6: Conventions &amp; Refactor</t>
        </is>
      </c>
      <c r="B17">
        <f>COUNTIF(Tracker!A2:A35,A17)</f>
        <v/>
      </c>
      <c r="C17">
        <f>COUNTIFS(Tracker!A2:A35,A17,Tracker!D2:D35,"Not Started")</f>
        <v/>
      </c>
      <c r="D17">
        <f>COUNTIFS(Tracker!A2:A35,A17,Tracker!D2:D35,"In Progress")</f>
        <v/>
      </c>
      <c r="E17">
        <f>COUNTIFS(Tracker!A2:A35,A17,Tracker!D2:D35,"Practiced")</f>
        <v/>
      </c>
      <c r="F17">
        <f>COUNTIFS(Tracker!A2:A35,A17,Tracker!D2:D35,"Done")</f>
        <v/>
      </c>
      <c r="G17" s="7">
        <f>IFERROR(F17/B17,0)</f>
        <v/>
      </c>
    </row>
    <row r="18">
      <c r="A18" t="inlineStr">
        <is>
          <t>Phase 7: Testing &amp; Quality</t>
        </is>
      </c>
      <c r="B18">
        <f>COUNTIF(Tracker!A2:A35,A18)</f>
        <v/>
      </c>
      <c r="C18">
        <f>COUNTIFS(Tracker!A2:A35,A18,Tracker!D2:D35,"Not Started")</f>
        <v/>
      </c>
      <c r="D18">
        <f>COUNTIFS(Tracker!A2:A35,A18,Tracker!D2:D35,"In Progress")</f>
        <v/>
      </c>
      <c r="E18">
        <f>COUNTIFS(Tracker!A2:A35,A18,Tracker!D2:D35,"Practiced")</f>
        <v/>
      </c>
      <c r="F18">
        <f>COUNTIFS(Tracker!A2:A35,A18,Tracker!D2:D35,"Done")</f>
        <v/>
      </c>
      <c r="G18" s="7">
        <f>IFERROR(F18/B18,0)</f>
        <v/>
      </c>
    </row>
    <row r="19">
      <c r="A19" t="inlineStr">
        <is>
          <t>Capstone</t>
        </is>
      </c>
      <c r="B19">
        <f>COUNTIF(Tracker!A2:A35,A19)</f>
        <v/>
      </c>
      <c r="C19">
        <f>COUNTIFS(Tracker!A2:A35,A19,Tracker!D2:D35,"Not Started")</f>
        <v/>
      </c>
      <c r="D19">
        <f>COUNTIFS(Tracker!A2:A35,A19,Tracker!D2:D35,"In Progress")</f>
        <v/>
      </c>
      <c r="E19">
        <f>COUNTIFS(Tracker!A2:A35,A19,Tracker!D2:D35,"Practiced")</f>
        <v/>
      </c>
      <c r="F19">
        <f>COUNTIFS(Tracker!A2:A35,A19,Tracker!D2:D35,"Done")</f>
        <v/>
      </c>
      <c r="G19" s="7">
        <f>IFERROR(F19/B19,0)</f>
        <v/>
      </c>
    </row>
    <row r="20">
      <c r="A20" s="6" t="inlineStr">
        <is>
          <t>TOTAL</t>
        </is>
      </c>
      <c r="B20" s="6">
        <f>SUM(B11:B19)</f>
        <v/>
      </c>
      <c r="C20" s="6">
        <f>SUM(C11:C19)</f>
        <v/>
      </c>
      <c r="D20" s="6">
        <f>SUM(D11:D19)</f>
        <v/>
      </c>
      <c r="E20" s="6">
        <f>SUM(E11:E19)</f>
        <v/>
      </c>
      <c r="F20" s="6">
        <f>SUM(F11:F19)</f>
        <v/>
      </c>
      <c r="G20" s="8">
        <f>IFERROR(F20/B20,0)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78" customWidth="1" min="2" max="2"/>
    <col width="13" customWidth="1" min="3" max="3"/>
    <col width="14" customWidth="1" min="4" max="4"/>
  </cols>
  <sheetData>
    <row r="1">
      <c r="A1" s="4" t="inlineStr">
        <is>
          <t>Self-Assessment Checklist</t>
        </is>
      </c>
    </row>
    <row r="2">
      <c r="A2" s="5" t="inlineStr">
        <is>
          <t>From the learning plan - mark each once you can answer it unaided.</t>
        </is>
      </c>
    </row>
    <row r="4">
      <c r="A4" s="9" t="inlineStr">
        <is>
          <t>#</t>
        </is>
      </c>
      <c r="B4" s="9" t="inlineStr">
        <is>
          <t>Checklist Item</t>
        </is>
      </c>
      <c r="C4" s="9" t="inlineStr">
        <is>
          <t>Completed</t>
        </is>
      </c>
      <c r="D4" s="9" t="inlineStr">
        <is>
          <t>Date</t>
        </is>
      </c>
    </row>
    <row r="5">
      <c r="A5" t="n">
        <v>1</v>
      </c>
      <c r="B5" s="3" t="inlineStr">
        <is>
          <t>I can explain why Angular 19 uses standalone components instead of NgModules.</t>
        </is>
      </c>
      <c r="C5" t="inlineStr">
        <is>
          <t>No</t>
        </is>
      </c>
    </row>
    <row r="6">
      <c r="A6" t="n">
        <v>2</v>
      </c>
      <c r="B6" s="3" t="inlineStr">
        <is>
          <t>I can explain why derived state must use computed(), not a get getter.</t>
        </is>
      </c>
      <c r="C6" t="inlineStr">
        <is>
          <t>No</t>
        </is>
      </c>
    </row>
    <row r="7">
      <c r="A7" t="n">
        <v>3</v>
      </c>
      <c r="B7" s="3" t="inlineStr">
        <is>
          <t>I can explain why signals are read with () in both templates and TS.</t>
        </is>
      </c>
      <c r="C7" t="inlineStr">
        <is>
          <t>No</t>
        </is>
      </c>
    </row>
    <row r="8">
      <c r="A8" t="n">
        <v>4</v>
      </c>
      <c r="B8" s="3" t="inlineStr">
        <is>
          <t>I can explain the difference between input()/output() and the legacy @Input/@Output decorators.</t>
        </is>
      </c>
      <c r="C8" t="inlineStr">
        <is>
          <t>No</t>
        </is>
      </c>
    </row>
    <row r="9">
      <c r="A9" t="n">
        <v>5</v>
      </c>
      <c r="B9" s="3" t="inlineStr">
        <is>
          <t>I can explain why every HTTP call needs catchError(handleHttpError(...)) that re-throws the original error.</t>
        </is>
      </c>
      <c r="C9" t="inlineStr">
        <is>
          <t>No</t>
        </is>
      </c>
    </row>
    <row r="10">
      <c r="A10" t="n">
        <v>6</v>
      </c>
      <c r="B10" s="3" t="inlineStr">
        <is>
          <t>I can explain the takeUntilDestroyed(this.destroyRef) pattern and why DestroyRef must be a field initializer.</t>
        </is>
      </c>
      <c r="C10" t="inlineStr">
        <is>
          <t>No</t>
        </is>
      </c>
    </row>
    <row r="11">
      <c r="A11" t="n">
        <v>7</v>
      </c>
      <c r="B11" s="3" t="inlineStr">
        <is>
          <t>I can explain why a component must handle loading, error, and empty states.</t>
        </is>
      </c>
      <c r="C11" t="inlineStr">
        <is>
          <t>No</t>
        </is>
      </c>
    </row>
    <row r="12">
      <c r="A12" t="n">
        <v>8</v>
      </c>
      <c r="B12" s="3" t="inlineStr">
        <is>
          <t>I can explain when to convert px to rem in SCSS and what stays in px.</t>
        </is>
      </c>
      <c r="C12" t="inlineStr">
        <is>
          <t>No</t>
        </is>
      </c>
    </row>
    <row r="13">
      <c r="A13" t="n">
        <v>9</v>
      </c>
      <c r="B13" s="3" t="inlineStr">
        <is>
          <t>I can explain why user-visible text must use the | translate pipe and how RTL logical properties work.</t>
        </is>
      </c>
      <c r="C13" t="inlineStr">
        <is>
          <t>No</t>
        </is>
      </c>
    </row>
    <row r="14">
      <c r="A14" t="n">
        <v>10</v>
      </c>
      <c r="B14" s="3" t="inlineStr">
        <is>
          <t>I can explain why magic strings like 'edit' should use FormMode / CONTEXT_MENU_ACTION constants.</t>
        </is>
      </c>
      <c r="C14" t="inlineStr">
        <is>
          <t>No</t>
        </is>
      </c>
    </row>
    <row r="15">
      <c r="A15" t="n">
        <v>11</v>
      </c>
      <c r="B15" s="3" t="inlineStr">
        <is>
          <t>I can name the file-size limits and when a component should be split.</t>
        </is>
      </c>
      <c r="C15" t="inlineStr">
        <is>
          <t>No</t>
        </is>
      </c>
    </row>
    <row r="16">
      <c r="A16" t="n">
        <v>12</v>
      </c>
      <c r="B16" s="3" t="inlineStr">
        <is>
          <t>I can explain the full quality gate (prettier/eslint/stylelint/typecheck/build:prod/test).</t>
        </is>
      </c>
      <c r="C16" t="inlineStr">
        <is>
          <t>No</t>
        </is>
      </c>
    </row>
  </sheetData>
  <dataValidations count="1">
    <dataValidation sqref="C5:C1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</cols>
  <sheetData>
    <row r="1">
      <c r="A1" s="9" t="inlineStr">
        <is>
          <t>Date</t>
        </is>
      </c>
      <c r="B1" s="9" t="inlineStr">
        <is>
          <t>Hours Spent</t>
        </is>
      </c>
      <c r="C1" s="9" t="inlineStr">
        <is>
          <t>Notes</t>
        </is>
      </c>
    </row>
    <row r="2">
      <c r="A2" s="10" t="n"/>
      <c r="B2" s="11" t="n"/>
    </row>
    <row r="3">
      <c r="A3" s="10" t="n"/>
      <c r="B3" s="11" t="n"/>
    </row>
    <row r="4">
      <c r="A4" s="10" t="n"/>
      <c r="B4" s="11" t="n"/>
    </row>
    <row r="5">
      <c r="A5" s="10" t="n"/>
      <c r="B5" s="11" t="n"/>
    </row>
    <row r="6">
      <c r="A6" s="10" t="n"/>
      <c r="B6" s="11" t="n"/>
    </row>
    <row r="7">
      <c r="A7" s="10" t="n"/>
      <c r="B7" s="11" t="n"/>
    </row>
    <row r="8">
      <c r="A8" s="10" t="n"/>
      <c r="B8" s="11" t="n"/>
    </row>
    <row r="9">
      <c r="A9" s="10" t="n"/>
      <c r="B9" s="11" t="n"/>
    </row>
    <row r="10">
      <c r="A10" s="10" t="n"/>
      <c r="B10" s="11" t="n"/>
    </row>
    <row r="11">
      <c r="A11" s="10" t="n"/>
      <c r="B11" s="11" t="n"/>
    </row>
    <row r="12">
      <c r="A12" s="10" t="n"/>
      <c r="B12" s="11" t="n"/>
    </row>
    <row r="13">
      <c r="A13" s="10" t="n"/>
      <c r="B13" s="11" t="n"/>
    </row>
    <row r="14">
      <c r="A14" s="10" t="n"/>
      <c r="B14" s="11" t="n"/>
    </row>
    <row r="15">
      <c r="A15" s="10" t="n"/>
      <c r="B15" s="11" t="n"/>
    </row>
    <row r="16">
      <c r="A16" s="10" t="n"/>
      <c r="B16" s="11" t="n"/>
    </row>
    <row r="17">
      <c r="A17" s="10" t="n"/>
      <c r="B17" s="11" t="n"/>
    </row>
    <row r="18">
      <c r="A18" s="10" t="n"/>
      <c r="B18" s="11" t="n"/>
    </row>
    <row r="19">
      <c r="A19" s="10" t="n"/>
      <c r="B19" s="11" t="n"/>
    </row>
    <row r="20">
      <c r="A20" s="10" t="n"/>
      <c r="B20" s="11" t="n"/>
    </row>
    <row r="21">
      <c r="A21" s="10" t="n"/>
      <c r="B21" s="11" t="n"/>
    </row>
    <row r="22">
      <c r="A22" s="10" t="n"/>
      <c r="B22" s="11" t="n"/>
    </row>
    <row r="23">
      <c r="A23" s="10" t="n"/>
      <c r="B23" s="11" t="n"/>
    </row>
    <row r="24">
      <c r="A24" s="10" t="n"/>
      <c r="B24" s="11" t="n"/>
    </row>
    <row r="25">
      <c r="A25" s="10" t="n"/>
      <c r="B25" s="11" t="n"/>
    </row>
    <row r="26">
      <c r="A26" s="10" t="n"/>
      <c r="B26" s="11" t="n"/>
    </row>
    <row r="27">
      <c r="A27" s="10" t="n"/>
      <c r="B27" s="11" t="n"/>
    </row>
    <row r="28">
      <c r="A28" s="10" t="n"/>
      <c r="B28" s="11" t="n"/>
    </row>
    <row r="29">
      <c r="A29" s="10" t="n"/>
      <c r="B29" s="11" t="n"/>
    </row>
    <row r="30">
      <c r="A30" s="10" t="n"/>
      <c r="B30" s="11" t="n"/>
    </row>
    <row r="31">
      <c r="A31" s="10" t="n"/>
      <c r="B31" s="11" t="n"/>
    </row>
    <row r="32">
      <c r="A32" s="10" t="n"/>
      <c r="B32" s="11" t="n"/>
    </row>
    <row r="33">
      <c r="A33" s="10" t="n"/>
      <c r="B33" s="11" t="n"/>
    </row>
    <row r="34">
      <c r="A34" s="10" t="n"/>
      <c r="B34" s="11" t="n"/>
    </row>
    <row r="35">
      <c r="A35" s="10" t="n"/>
      <c r="B35" s="11" t="n"/>
    </row>
    <row r="36">
      <c r="A36" s="10" t="n"/>
      <c r="B36" s="11" t="n"/>
    </row>
    <row r="37">
      <c r="A37" s="10" t="n"/>
      <c r="B37" s="11" t="n"/>
    </row>
    <row r="38">
      <c r="A38" s="10" t="n"/>
      <c r="B38" s="11" t="n"/>
    </row>
    <row r="39">
      <c r="A39" s="10" t="n"/>
      <c r="B39" s="11" t="n"/>
    </row>
    <row r="40">
      <c r="A40" s="10" t="n"/>
      <c r="B40" s="11" t="n"/>
    </row>
    <row r="41">
      <c r="A41" s="10" t="n"/>
      <c r="B41" s="11" t="n"/>
    </row>
    <row r="42">
      <c r="A42" s="10" t="n"/>
      <c r="B42" s="11" t="n"/>
    </row>
    <row r="43">
      <c r="A43" s="10" t="n"/>
      <c r="B43" s="11" t="n"/>
    </row>
    <row r="44">
      <c r="A44" s="10" t="n"/>
      <c r="B44" s="11" t="n"/>
    </row>
    <row r="45">
      <c r="A45" s="10" t="n"/>
      <c r="B45" s="11" t="n"/>
    </row>
    <row r="46">
      <c r="A46" s="10" t="n"/>
      <c r="B46" s="11" t="n"/>
    </row>
    <row r="47">
      <c r="A47" s="10" t="n"/>
      <c r="B47" s="11" t="n"/>
    </row>
    <row r="48">
      <c r="A48" s="10" t="n"/>
      <c r="B48" s="11" t="n"/>
    </row>
    <row r="49">
      <c r="A49" s="10" t="n"/>
      <c r="B49" s="11" t="n"/>
    </row>
    <row r="50">
      <c r="A50" s="10" t="n"/>
      <c r="B50" s="11" t="n"/>
    </row>
    <row r="51">
      <c r="A51" s="10" t="n"/>
      <c r="B51" s="11" t="n"/>
    </row>
    <row r="52">
      <c r="A52" s="10" t="n"/>
      <c r="B52" s="11" t="n"/>
    </row>
    <row r="53">
      <c r="A53" s="10" t="n"/>
      <c r="B53" s="11" t="n"/>
    </row>
    <row r="54">
      <c r="A54" s="10" t="n"/>
      <c r="B54" s="11" t="n"/>
    </row>
    <row r="55">
      <c r="A55" s="10" t="n"/>
      <c r="B55" s="11" t="n"/>
    </row>
    <row r="56">
      <c r="A56" s="10" t="n"/>
      <c r="B56" s="11" t="n"/>
    </row>
    <row r="57">
      <c r="A57" s="10" t="n"/>
      <c r="B57" s="11" t="n"/>
    </row>
    <row r="58">
      <c r="A58" s="10" t="n"/>
      <c r="B58" s="11" t="n"/>
    </row>
    <row r="59">
      <c r="A59" s="10" t="n"/>
      <c r="B59" s="11" t="n"/>
    </row>
    <row r="60">
      <c r="A60" s="10" t="n"/>
      <c r="B60" s="11" t="n"/>
    </row>
    <row r="61">
      <c r="A61" s="10" t="n"/>
      <c r="B61" s="11" t="n"/>
    </row>
    <row r="62">
      <c r="A62" s="10" t="n"/>
      <c r="B62" s="11" t="n"/>
    </row>
    <row r="63">
      <c r="A63" s="10" t="n"/>
      <c r="B63" s="11" t="n"/>
    </row>
    <row r="64">
      <c r="A64" s="10" t="n"/>
      <c r="B64" s="11" t="n"/>
    </row>
    <row r="65">
      <c r="A65" s="10" t="n"/>
      <c r="B65" s="11" t="n"/>
    </row>
    <row r="66">
      <c r="A66" s="10" t="n"/>
      <c r="B66" s="11" t="n"/>
    </row>
    <row r="67">
      <c r="A67" s="10" t="n"/>
      <c r="B67" s="11" t="n"/>
    </row>
    <row r="68">
      <c r="A68" s="10" t="n"/>
      <c r="B68" s="11" t="n"/>
    </row>
    <row r="69">
      <c r="A69" s="10" t="n"/>
      <c r="B69" s="11" t="n"/>
    </row>
    <row r="70">
      <c r="A70" s="10" t="n"/>
      <c r="B70" s="11" t="n"/>
    </row>
    <row r="71">
      <c r="A71" s="10" t="n"/>
      <c r="B71" s="11" t="n"/>
    </row>
    <row r="72">
      <c r="A72" s="10" t="n"/>
      <c r="B72" s="11" t="n"/>
    </row>
    <row r="73">
      <c r="A73" s="10" t="n"/>
      <c r="B73" s="11" t="n"/>
    </row>
    <row r="74">
      <c r="A74" s="10" t="n"/>
      <c r="B74" s="11" t="n"/>
    </row>
    <row r="75">
      <c r="A75" s="10" t="n"/>
      <c r="B75" s="11" t="n"/>
    </row>
    <row r="76">
      <c r="A76" s="10" t="n"/>
      <c r="B76" s="11" t="n"/>
    </row>
    <row r="77">
      <c r="A77" s="10" t="n"/>
      <c r="B77" s="11" t="n"/>
    </row>
    <row r="78">
      <c r="A78" s="10" t="n"/>
      <c r="B78" s="11" t="n"/>
    </row>
    <row r="79">
      <c r="A79" s="10" t="n"/>
      <c r="B79" s="11" t="n"/>
    </row>
    <row r="80">
      <c r="A80" s="10" t="n"/>
      <c r="B80" s="11" t="n"/>
    </row>
    <row r="81">
      <c r="A81" s="10" t="n"/>
      <c r="B81" s="11" t="n"/>
    </row>
    <row r="82">
      <c r="A82" s="10" t="n"/>
      <c r="B82" s="11" t="n"/>
    </row>
    <row r="83">
      <c r="A83" s="10" t="n"/>
      <c r="B83" s="11" t="n"/>
    </row>
    <row r="84">
      <c r="A84" s="10" t="n"/>
      <c r="B84" s="11" t="n"/>
    </row>
    <row r="85">
      <c r="A85" s="10" t="n"/>
      <c r="B85" s="11" t="n"/>
    </row>
    <row r="86">
      <c r="A86" s="10" t="n"/>
      <c r="B86" s="11" t="n"/>
    </row>
    <row r="87">
      <c r="A87" s="10" t="n"/>
      <c r="B87" s="11" t="n"/>
    </row>
    <row r="88">
      <c r="A88" s="10" t="n"/>
      <c r="B88" s="11" t="n"/>
    </row>
    <row r="89">
      <c r="A89" s="10" t="n"/>
      <c r="B89" s="11" t="n"/>
    </row>
    <row r="90">
      <c r="A90" s="10" t="n"/>
      <c r="B90" s="11" t="n"/>
    </row>
    <row r="91">
      <c r="A91" s="10" t="n"/>
      <c r="B91" s="11" t="n"/>
    </row>
    <row r="92">
      <c r="A92" s="10" t="n"/>
      <c r="B92" s="11" t="n"/>
    </row>
    <row r="93">
      <c r="A93" s="10" t="n"/>
      <c r="B93" s="11" t="n"/>
    </row>
    <row r="94">
      <c r="A94" s="10" t="n"/>
      <c r="B94" s="11" t="n"/>
    </row>
    <row r="95">
      <c r="A95" s="10" t="n"/>
      <c r="B95" s="11" t="n"/>
    </row>
    <row r="96">
      <c r="A96" s="10" t="n"/>
      <c r="B96" s="11" t="n"/>
    </row>
    <row r="97">
      <c r="A97" s="10" t="n"/>
      <c r="B97" s="11" t="n"/>
    </row>
    <row r="98">
      <c r="A98" s="10" t="n"/>
      <c r="B98" s="11" t="n"/>
    </row>
    <row r="99">
      <c r="A99" s="10" t="n"/>
      <c r="B99" s="11" t="n"/>
    </row>
    <row r="100">
      <c r="A100" s="10" t="n"/>
      <c r="B100" s="11" t="n"/>
    </row>
    <row r="101">
      <c r="A101" s="10" t="n"/>
      <c r="B101" s="11" t="n"/>
    </row>
    <row r="102">
      <c r="A102" s="10" t="n"/>
      <c r="B102" s="11" t="n"/>
    </row>
    <row r="103">
      <c r="A103" s="10" t="n"/>
      <c r="B103" s="11" t="n"/>
    </row>
    <row r="104">
      <c r="A104" s="10" t="n"/>
      <c r="B104" s="11" t="n"/>
    </row>
    <row r="105">
      <c r="A105" s="10" t="n"/>
      <c r="B105" s="11" t="n"/>
    </row>
    <row r="106">
      <c r="A106" s="10" t="n"/>
      <c r="B106" s="11" t="n"/>
    </row>
    <row r="107">
      <c r="A107" s="10" t="n"/>
      <c r="B107" s="11" t="n"/>
    </row>
    <row r="108">
      <c r="A108" s="10" t="n"/>
      <c r="B108" s="11" t="n"/>
    </row>
    <row r="109">
      <c r="A109" s="10" t="n"/>
      <c r="B109" s="11" t="n"/>
    </row>
    <row r="110">
      <c r="A110" s="10" t="n"/>
      <c r="B110" s="11" t="n"/>
    </row>
    <row r="111">
      <c r="A111" s="10" t="n"/>
      <c r="B111" s="11" t="n"/>
    </row>
    <row r="112">
      <c r="A112" s="10" t="n"/>
      <c r="B112" s="11" t="n"/>
    </row>
    <row r="113">
      <c r="A113" s="10" t="n"/>
      <c r="B113" s="11" t="n"/>
    </row>
    <row r="114">
      <c r="A114" s="10" t="n"/>
      <c r="B114" s="11" t="n"/>
    </row>
    <row r="115">
      <c r="A115" s="10" t="n"/>
      <c r="B115" s="11" t="n"/>
    </row>
    <row r="116">
      <c r="A116" s="10" t="n"/>
      <c r="B116" s="11" t="n"/>
    </row>
    <row r="117">
      <c r="A117" s="10" t="n"/>
      <c r="B117" s="11" t="n"/>
    </row>
    <row r="118">
      <c r="A118" s="10" t="n"/>
      <c r="B118" s="11" t="n"/>
    </row>
    <row r="119">
      <c r="A119" s="10" t="n"/>
      <c r="B119" s="11" t="n"/>
    </row>
    <row r="120">
      <c r="A120" s="10" t="n"/>
      <c r="B120" s="11" t="n"/>
    </row>
    <row r="121">
      <c r="A121" s="10" t="n"/>
      <c r="B121" s="11" t="n"/>
    </row>
    <row r="122">
      <c r="A122" s="10" t="n"/>
      <c r="B122" s="11" t="n"/>
    </row>
    <row r="123">
      <c r="A123" s="10" t="n"/>
      <c r="B123" s="11" t="n"/>
    </row>
    <row r="124">
      <c r="A124" s="10" t="n"/>
      <c r="B124" s="11" t="n"/>
    </row>
    <row r="125">
      <c r="A125" s="10" t="n"/>
      <c r="B125" s="11" t="n"/>
    </row>
    <row r="126">
      <c r="A126" s="10" t="n"/>
      <c r="B126" s="11" t="n"/>
    </row>
    <row r="127">
      <c r="A127" s="10" t="n"/>
      <c r="B127" s="11" t="n"/>
    </row>
    <row r="128">
      <c r="A128" s="10" t="n"/>
      <c r="B128" s="11" t="n"/>
    </row>
    <row r="129">
      <c r="A129" s="10" t="n"/>
      <c r="B129" s="11" t="n"/>
    </row>
    <row r="130">
      <c r="A130" s="10" t="n"/>
      <c r="B130" s="11" t="n"/>
    </row>
    <row r="131">
      <c r="A131" s="10" t="n"/>
      <c r="B131" s="11" t="n"/>
    </row>
    <row r="132">
      <c r="A132" s="10" t="n"/>
      <c r="B132" s="11" t="n"/>
    </row>
    <row r="133">
      <c r="A133" s="10" t="n"/>
      <c r="B133" s="11" t="n"/>
    </row>
    <row r="134">
      <c r="A134" s="10" t="n"/>
      <c r="B134" s="11" t="n"/>
    </row>
    <row r="135">
      <c r="A135" s="10" t="n"/>
      <c r="B135" s="11" t="n"/>
    </row>
    <row r="136">
      <c r="A136" s="10" t="n"/>
      <c r="B136" s="11" t="n"/>
    </row>
    <row r="137">
      <c r="A137" s="10" t="n"/>
      <c r="B137" s="11" t="n"/>
    </row>
    <row r="138">
      <c r="A138" s="10" t="n"/>
      <c r="B138" s="11" t="n"/>
    </row>
    <row r="139">
      <c r="A139" s="10" t="n"/>
      <c r="B139" s="11" t="n"/>
    </row>
    <row r="140">
      <c r="A140" s="10" t="n"/>
      <c r="B140" s="11" t="n"/>
    </row>
    <row r="141">
      <c r="A141" s="10" t="n"/>
      <c r="B141" s="11" t="n"/>
    </row>
    <row r="142">
      <c r="A142" s="10" t="n"/>
      <c r="B142" s="11" t="n"/>
    </row>
    <row r="143">
      <c r="A143" s="10" t="n"/>
      <c r="B143" s="11" t="n"/>
    </row>
    <row r="144">
      <c r="A144" s="10" t="n"/>
      <c r="B144" s="11" t="n"/>
    </row>
    <row r="145">
      <c r="A145" s="10" t="n"/>
      <c r="B145" s="11" t="n"/>
    </row>
    <row r="146">
      <c r="A146" s="10" t="n"/>
      <c r="B146" s="11" t="n"/>
    </row>
    <row r="147">
      <c r="A147" s="10" t="n"/>
      <c r="B147" s="11" t="n"/>
    </row>
    <row r="148">
      <c r="A148" s="10" t="n"/>
      <c r="B148" s="11" t="n"/>
    </row>
    <row r="149">
      <c r="A149" s="10" t="n"/>
      <c r="B149" s="11" t="n"/>
    </row>
    <row r="150">
      <c r="A150" s="10" t="n"/>
      <c r="B150" s="11" t="n"/>
    </row>
    <row r="151">
      <c r="A151" s="10" t="n"/>
      <c r="B151" s="11" t="n"/>
    </row>
    <row r="152">
      <c r="A152" s="10" t="n"/>
      <c r="B152" s="11" t="n"/>
    </row>
    <row r="153">
      <c r="A153" s="10" t="n"/>
      <c r="B153" s="11" t="n"/>
    </row>
    <row r="154">
      <c r="A154" s="10" t="n"/>
      <c r="B154" s="11" t="n"/>
    </row>
    <row r="155">
      <c r="A155" s="10" t="n"/>
      <c r="B155" s="11" t="n"/>
    </row>
    <row r="156">
      <c r="A156" s="10" t="n"/>
      <c r="B156" s="11" t="n"/>
    </row>
    <row r="157">
      <c r="A157" s="10" t="n"/>
      <c r="B157" s="11" t="n"/>
    </row>
    <row r="158">
      <c r="A158" s="10" t="n"/>
      <c r="B158" s="11" t="n"/>
    </row>
    <row r="159">
      <c r="A159" s="10" t="n"/>
      <c r="B159" s="11" t="n"/>
    </row>
    <row r="160">
      <c r="A160" s="10" t="n"/>
      <c r="B160" s="11" t="n"/>
    </row>
    <row r="161">
      <c r="A161" s="10" t="n"/>
      <c r="B161" s="11" t="n"/>
    </row>
    <row r="162">
      <c r="A162" s="10" t="n"/>
      <c r="B162" s="11" t="n"/>
    </row>
    <row r="163">
      <c r="A163" s="10" t="n"/>
      <c r="B163" s="11" t="n"/>
    </row>
    <row r="164">
      <c r="A164" s="10" t="n"/>
      <c r="B164" s="11" t="n"/>
    </row>
    <row r="165">
      <c r="A165" s="10" t="n"/>
      <c r="B165" s="11" t="n"/>
    </row>
    <row r="166">
      <c r="A166" s="10" t="n"/>
      <c r="B166" s="11" t="n"/>
    </row>
    <row r="167">
      <c r="A167" s="10" t="n"/>
      <c r="B167" s="11" t="n"/>
    </row>
    <row r="168">
      <c r="A168" s="10" t="n"/>
      <c r="B168" s="11" t="n"/>
    </row>
    <row r="169">
      <c r="A169" s="10" t="n"/>
      <c r="B169" s="11" t="n"/>
    </row>
    <row r="170">
      <c r="A170" s="10" t="n"/>
      <c r="B170" s="11" t="n"/>
    </row>
    <row r="171">
      <c r="A171" s="10" t="n"/>
      <c r="B171" s="11" t="n"/>
    </row>
    <row r="172">
      <c r="A172" s="10" t="n"/>
      <c r="B172" s="11" t="n"/>
    </row>
    <row r="173">
      <c r="A173" s="10" t="n"/>
      <c r="B173" s="11" t="n"/>
    </row>
    <row r="174">
      <c r="A174" s="10" t="n"/>
      <c r="B174" s="11" t="n"/>
    </row>
    <row r="175">
      <c r="A175" s="10" t="n"/>
      <c r="B175" s="11" t="n"/>
    </row>
    <row r="176">
      <c r="A176" s="10" t="n"/>
      <c r="B176" s="11" t="n"/>
    </row>
    <row r="177">
      <c r="A177" s="10" t="n"/>
      <c r="B177" s="11" t="n"/>
    </row>
    <row r="178">
      <c r="A178" s="10" t="n"/>
      <c r="B178" s="11" t="n"/>
    </row>
    <row r="179">
      <c r="A179" s="10" t="n"/>
      <c r="B179" s="11" t="n"/>
    </row>
    <row r="180">
      <c r="A180" s="10" t="n"/>
      <c r="B180" s="11" t="n"/>
    </row>
    <row r="181">
      <c r="A181" s="10" t="n"/>
      <c r="B181" s="11" t="n"/>
    </row>
    <row r="182">
      <c r="A182" s="10" t="n"/>
      <c r="B182" s="11" t="n"/>
    </row>
    <row r="183">
      <c r="A183" s="10" t="n"/>
      <c r="B183" s="11" t="n"/>
    </row>
    <row r="184">
      <c r="A184" s="10" t="n"/>
      <c r="B184" s="11" t="n"/>
    </row>
    <row r="185">
      <c r="A185" s="10" t="n"/>
      <c r="B185" s="11" t="n"/>
    </row>
    <row r="186">
      <c r="A186" s="10" t="n"/>
      <c r="B186" s="11" t="n"/>
    </row>
    <row r="187">
      <c r="A187" s="10" t="n"/>
      <c r="B187" s="11" t="n"/>
    </row>
    <row r="188">
      <c r="A188" s="10" t="n"/>
      <c r="B188" s="11" t="n"/>
    </row>
    <row r="189">
      <c r="A189" s="10" t="n"/>
      <c r="B189" s="11" t="n"/>
    </row>
    <row r="190">
      <c r="A190" s="10" t="n"/>
      <c r="B190" s="11" t="n"/>
    </row>
    <row r="191">
      <c r="A191" s="10" t="n"/>
      <c r="B191" s="11" t="n"/>
    </row>
    <row r="192">
      <c r="A192" s="10" t="n"/>
      <c r="B192" s="11" t="n"/>
    </row>
    <row r="193">
      <c r="A193" s="10" t="n"/>
      <c r="B193" s="11" t="n"/>
    </row>
    <row r="194">
      <c r="A194" s="10" t="n"/>
      <c r="B194" s="11" t="n"/>
    </row>
    <row r="195">
      <c r="A195" s="10" t="n"/>
      <c r="B195" s="11" t="n"/>
    </row>
    <row r="196">
      <c r="A196" s="10" t="n"/>
      <c r="B196" s="11" t="n"/>
    </row>
    <row r="197">
      <c r="A197" s="10" t="n"/>
      <c r="B197" s="11" t="n"/>
    </row>
    <row r="198">
      <c r="A198" s="10" t="n"/>
      <c r="B198" s="11" t="n"/>
    </row>
    <row r="199">
      <c r="A199" s="10" t="n"/>
      <c r="B199" s="11" t="n"/>
    </row>
    <row r="200">
      <c r="A200" s="10" t="n"/>
      <c r="B200" s="11" t="n"/>
    </row>
    <row r="201">
      <c r="A201" s="10" t="n"/>
      <c r="B20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2026-07-09T12:04:55Z</dcterms:created>
  <dcterms:modified xmlns:dcterms="http://purl.org/dc/terms/" xmlns:xsi="http://www.w3.org/2001/XMLSchema-instance" xsi:type="dcterms:W3CDTF">2026-07-12T12:36:27Z</dcterms:modified>
</cp:coreProperties>
</file>